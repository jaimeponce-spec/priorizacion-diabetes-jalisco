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f1ad6dc8c1b97c1/Funsalud/1 Proyectos Estratégicos/Cero Diabetis/"/>
    </mc:Choice>
  </mc:AlternateContent>
  <xr:revisionPtr revIDLastSave="0" documentId="8_{B1715A41-F40F-490A-8A25-28A4773328FC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Priorización" sheetId="1" r:id="rId1"/>
    <sheet name="Definiciones" sheetId="2" r:id="rId2"/>
    <sheet name="Metodología" sheetId="3" r:id="rId3"/>
    <sheet name="Tablero" sheetId="4" r:id="rId4"/>
  </sheets>
  <definedNames>
    <definedName name="_xlnm._FilterDatabase" localSheetId="0" hidden="1">Priorización!$A$1:$AH$126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C14" i="4"/>
  <c r="AW64" i="1"/>
  <c r="AW25" i="1"/>
  <c r="AY11" i="1"/>
  <c r="AX11" i="1"/>
  <c r="AW11" i="1"/>
  <c r="AZ7" i="1"/>
  <c r="AY7" i="1"/>
  <c r="AU126" i="1"/>
  <c r="AT126" i="1"/>
  <c r="AS126" i="1"/>
  <c r="AR126" i="1"/>
  <c r="AQ126" i="1"/>
  <c r="AY126" i="1" s="1"/>
  <c r="AP126" i="1"/>
  <c r="AO126" i="1"/>
  <c r="AN126" i="1"/>
  <c r="AM126" i="1"/>
  <c r="AL126" i="1"/>
  <c r="AX126" i="1" s="1"/>
  <c r="AK126" i="1"/>
  <c r="AW126" i="1" s="1"/>
  <c r="AJ126" i="1"/>
  <c r="AI126" i="1"/>
  <c r="AU125" i="1"/>
  <c r="AT125" i="1"/>
  <c r="AS125" i="1"/>
  <c r="AR125" i="1"/>
  <c r="AQ125" i="1"/>
  <c r="AY125" i="1" s="1"/>
  <c r="AP125" i="1"/>
  <c r="AO125" i="1"/>
  <c r="AN125" i="1"/>
  <c r="AM125" i="1"/>
  <c r="AL125" i="1"/>
  <c r="AK125" i="1"/>
  <c r="AW125" i="1" s="1"/>
  <c r="AJ125" i="1"/>
  <c r="AI125" i="1"/>
  <c r="AU124" i="1"/>
  <c r="AT124" i="1"/>
  <c r="AZ124" i="1" s="1"/>
  <c r="AS124" i="1"/>
  <c r="AR124" i="1"/>
  <c r="AQ124" i="1"/>
  <c r="AP124" i="1"/>
  <c r="AO124" i="1"/>
  <c r="AN124" i="1"/>
  <c r="AM124" i="1"/>
  <c r="AL124" i="1"/>
  <c r="AK124" i="1"/>
  <c r="AW124" i="1" s="1"/>
  <c r="AJ124" i="1"/>
  <c r="AI124" i="1"/>
  <c r="AU123" i="1"/>
  <c r="AT123" i="1"/>
  <c r="AZ123" i="1" s="1"/>
  <c r="AS123" i="1"/>
  <c r="AR123" i="1"/>
  <c r="AQ123" i="1"/>
  <c r="AP123" i="1"/>
  <c r="AO123" i="1"/>
  <c r="AN123" i="1"/>
  <c r="AM123" i="1"/>
  <c r="AL123" i="1"/>
  <c r="AK123" i="1"/>
  <c r="AW123" i="1" s="1"/>
  <c r="AJ123" i="1"/>
  <c r="AI123" i="1"/>
  <c r="AV123" i="1" s="1"/>
  <c r="AU122" i="1"/>
  <c r="AT122" i="1"/>
  <c r="AZ122" i="1" s="1"/>
  <c r="AS122" i="1"/>
  <c r="AR122" i="1"/>
  <c r="AQ122" i="1"/>
  <c r="AP122" i="1"/>
  <c r="AO122" i="1"/>
  <c r="AN122" i="1"/>
  <c r="AM122" i="1"/>
  <c r="AL122" i="1"/>
  <c r="AK122" i="1"/>
  <c r="AW122" i="1" s="1"/>
  <c r="AJ122" i="1"/>
  <c r="AI122" i="1"/>
  <c r="AU121" i="1"/>
  <c r="AT121" i="1"/>
  <c r="AZ121" i="1" s="1"/>
  <c r="AS121" i="1"/>
  <c r="AR121" i="1"/>
  <c r="AQ121" i="1"/>
  <c r="AP121" i="1"/>
  <c r="AO121" i="1"/>
  <c r="AN121" i="1"/>
  <c r="AM121" i="1"/>
  <c r="AL121" i="1"/>
  <c r="AK121" i="1"/>
  <c r="AW121" i="1" s="1"/>
  <c r="AJ121" i="1"/>
  <c r="AI121" i="1"/>
  <c r="AV121" i="1" s="1"/>
  <c r="AU120" i="1"/>
  <c r="AT120" i="1"/>
  <c r="AZ120" i="1" s="1"/>
  <c r="AS120" i="1"/>
  <c r="AR120" i="1"/>
  <c r="AQ120" i="1"/>
  <c r="AP120" i="1"/>
  <c r="AO120" i="1"/>
  <c r="AN120" i="1"/>
  <c r="AM120" i="1"/>
  <c r="AL120" i="1"/>
  <c r="AK120" i="1"/>
  <c r="AW120" i="1" s="1"/>
  <c r="AJ120" i="1"/>
  <c r="AI120" i="1"/>
  <c r="AU119" i="1"/>
  <c r="AT119" i="1"/>
  <c r="AZ119" i="1" s="1"/>
  <c r="AS119" i="1"/>
  <c r="AR119" i="1"/>
  <c r="AQ119" i="1"/>
  <c r="AP119" i="1"/>
  <c r="AO119" i="1"/>
  <c r="AN119" i="1"/>
  <c r="AM119" i="1"/>
  <c r="AL119" i="1"/>
  <c r="AK119" i="1"/>
  <c r="AW119" i="1" s="1"/>
  <c r="AJ119" i="1"/>
  <c r="AI119" i="1"/>
  <c r="AV119" i="1" s="1"/>
  <c r="AU118" i="1"/>
  <c r="AT118" i="1"/>
  <c r="AS118" i="1"/>
  <c r="AR118" i="1"/>
  <c r="AQ118" i="1"/>
  <c r="AP118" i="1"/>
  <c r="AO118" i="1"/>
  <c r="AN118" i="1"/>
  <c r="AM118" i="1"/>
  <c r="AL118" i="1"/>
  <c r="AK118" i="1"/>
  <c r="AW118" i="1" s="1"/>
  <c r="AJ118" i="1"/>
  <c r="AI118" i="1"/>
  <c r="AU117" i="1"/>
  <c r="AT117" i="1"/>
  <c r="AS117" i="1"/>
  <c r="AR117" i="1"/>
  <c r="AQ117" i="1"/>
  <c r="AY117" i="1" s="1"/>
  <c r="AP117" i="1"/>
  <c r="AO117" i="1"/>
  <c r="AN117" i="1"/>
  <c r="AM117" i="1"/>
  <c r="AL117" i="1"/>
  <c r="AK117" i="1"/>
  <c r="AW117" i="1" s="1"/>
  <c r="AJ117" i="1"/>
  <c r="AI117" i="1"/>
  <c r="AV117" i="1" s="1"/>
  <c r="AU116" i="1"/>
  <c r="AT116" i="1"/>
  <c r="AZ116" i="1" s="1"/>
  <c r="AS116" i="1"/>
  <c r="AR116" i="1"/>
  <c r="AQ116" i="1"/>
  <c r="AP116" i="1"/>
  <c r="AO116" i="1"/>
  <c r="AN116" i="1"/>
  <c r="AM116" i="1"/>
  <c r="AL116" i="1"/>
  <c r="AK116" i="1"/>
  <c r="AW116" i="1" s="1"/>
  <c r="AJ116" i="1"/>
  <c r="AI116" i="1"/>
  <c r="AU115" i="1"/>
  <c r="AT115" i="1"/>
  <c r="AS115" i="1"/>
  <c r="AR115" i="1"/>
  <c r="AQ115" i="1"/>
  <c r="AY115" i="1" s="1"/>
  <c r="AP115" i="1"/>
  <c r="AO115" i="1"/>
  <c r="AN115" i="1"/>
  <c r="AM115" i="1"/>
  <c r="AL115" i="1"/>
  <c r="AK115" i="1"/>
  <c r="AW115" i="1" s="1"/>
  <c r="AJ115" i="1"/>
  <c r="AI115" i="1"/>
  <c r="AU114" i="1"/>
  <c r="AT114" i="1"/>
  <c r="AS114" i="1"/>
  <c r="AR114" i="1"/>
  <c r="AQ114" i="1"/>
  <c r="AP114" i="1"/>
  <c r="AO114" i="1"/>
  <c r="AN114" i="1"/>
  <c r="AM114" i="1"/>
  <c r="AL114" i="1"/>
  <c r="AX114" i="1" s="1"/>
  <c r="AK114" i="1"/>
  <c r="AW114" i="1" s="1"/>
  <c r="AJ114" i="1"/>
  <c r="AI114" i="1"/>
  <c r="AV114" i="1" s="1"/>
  <c r="AU113" i="1"/>
  <c r="AT113" i="1"/>
  <c r="AS113" i="1"/>
  <c r="AR113" i="1"/>
  <c r="AQ113" i="1"/>
  <c r="AY113" i="1" s="1"/>
  <c r="AP113" i="1"/>
  <c r="AO113" i="1"/>
  <c r="AN113" i="1"/>
  <c r="AM113" i="1"/>
  <c r="AL113" i="1"/>
  <c r="AK113" i="1"/>
  <c r="AW113" i="1" s="1"/>
  <c r="AJ113" i="1"/>
  <c r="AI113" i="1"/>
  <c r="AV113" i="1" s="1"/>
  <c r="AU112" i="1"/>
  <c r="AT112" i="1"/>
  <c r="AS112" i="1"/>
  <c r="AR112" i="1"/>
  <c r="AQ112" i="1"/>
  <c r="AP112" i="1"/>
  <c r="AO112" i="1"/>
  <c r="AN112" i="1"/>
  <c r="AM112" i="1"/>
  <c r="AL112" i="1"/>
  <c r="AX112" i="1" s="1"/>
  <c r="AK112" i="1"/>
  <c r="AW112" i="1" s="1"/>
  <c r="AJ112" i="1"/>
  <c r="AI112" i="1"/>
  <c r="AV112" i="1" s="1"/>
  <c r="AU111" i="1"/>
  <c r="AT111" i="1"/>
  <c r="AS111" i="1"/>
  <c r="AR111" i="1"/>
  <c r="AQ111" i="1"/>
  <c r="AP111" i="1"/>
  <c r="AO111" i="1"/>
  <c r="AN111" i="1"/>
  <c r="AM111" i="1"/>
  <c r="AL111" i="1"/>
  <c r="AK111" i="1"/>
  <c r="AW111" i="1" s="1"/>
  <c r="AJ111" i="1"/>
  <c r="AI111" i="1"/>
  <c r="AV111" i="1" s="1"/>
  <c r="AU110" i="1"/>
  <c r="AT110" i="1"/>
  <c r="AZ110" i="1" s="1"/>
  <c r="AS110" i="1"/>
  <c r="AR110" i="1"/>
  <c r="AQ110" i="1"/>
  <c r="AY110" i="1" s="1"/>
  <c r="AP110" i="1"/>
  <c r="AO110" i="1"/>
  <c r="AN110" i="1"/>
  <c r="AM110" i="1"/>
  <c r="AL110" i="1"/>
  <c r="AK110" i="1"/>
  <c r="AW110" i="1" s="1"/>
  <c r="AJ110" i="1"/>
  <c r="AI110" i="1"/>
  <c r="AU109" i="1"/>
  <c r="AT109" i="1"/>
  <c r="AZ109" i="1" s="1"/>
  <c r="AS109" i="1"/>
  <c r="AR109" i="1"/>
  <c r="AQ109" i="1"/>
  <c r="AP109" i="1"/>
  <c r="AO109" i="1"/>
  <c r="AN109" i="1"/>
  <c r="AM109" i="1"/>
  <c r="AL109" i="1"/>
  <c r="AK109" i="1"/>
  <c r="AW109" i="1" s="1"/>
  <c r="AJ109" i="1"/>
  <c r="AI109" i="1"/>
  <c r="AV109" i="1" s="1"/>
  <c r="AU108" i="1"/>
  <c r="AT108" i="1"/>
  <c r="AZ108" i="1" s="1"/>
  <c r="AS108" i="1"/>
  <c r="AR108" i="1"/>
  <c r="AQ108" i="1"/>
  <c r="AY108" i="1" s="1"/>
  <c r="AP108" i="1"/>
  <c r="AO108" i="1"/>
  <c r="AN108" i="1"/>
  <c r="AM108" i="1"/>
  <c r="AL108" i="1"/>
  <c r="AK108" i="1"/>
  <c r="AW108" i="1" s="1"/>
  <c r="AJ108" i="1"/>
  <c r="AI108" i="1"/>
  <c r="AV108" i="1" s="1"/>
  <c r="AU107" i="1"/>
  <c r="AT107" i="1"/>
  <c r="AS107" i="1"/>
  <c r="AR107" i="1"/>
  <c r="AQ107" i="1"/>
  <c r="AY107" i="1" s="1"/>
  <c r="AP107" i="1"/>
  <c r="AO107" i="1"/>
  <c r="AN107" i="1"/>
  <c r="AM107" i="1"/>
  <c r="AL107" i="1"/>
  <c r="AX107" i="1" s="1"/>
  <c r="AK107" i="1"/>
  <c r="AW107" i="1" s="1"/>
  <c r="AJ107" i="1"/>
  <c r="AI107" i="1"/>
  <c r="AU106" i="1"/>
  <c r="AT106" i="1"/>
  <c r="AZ106" i="1" s="1"/>
  <c r="AS106" i="1"/>
  <c r="AR106" i="1"/>
  <c r="AQ106" i="1"/>
  <c r="AP106" i="1"/>
  <c r="AO106" i="1"/>
  <c r="AN106" i="1"/>
  <c r="AM106" i="1"/>
  <c r="AL106" i="1"/>
  <c r="AK106" i="1"/>
  <c r="AW106" i="1" s="1"/>
  <c r="AJ106" i="1"/>
  <c r="AI106" i="1"/>
  <c r="AU105" i="1"/>
  <c r="AT105" i="1"/>
  <c r="AS105" i="1"/>
  <c r="AR105" i="1"/>
  <c r="AQ105" i="1"/>
  <c r="AP105" i="1"/>
  <c r="AO105" i="1"/>
  <c r="AN105" i="1"/>
  <c r="AM105" i="1"/>
  <c r="AL105" i="1"/>
  <c r="AK105" i="1"/>
  <c r="AW105" i="1" s="1"/>
  <c r="AJ105" i="1"/>
  <c r="AI105" i="1"/>
  <c r="AU104" i="1"/>
  <c r="AT104" i="1"/>
  <c r="AS104" i="1"/>
  <c r="AR104" i="1"/>
  <c r="AQ104" i="1"/>
  <c r="AY104" i="1" s="1"/>
  <c r="AP104" i="1"/>
  <c r="AO104" i="1"/>
  <c r="AN104" i="1"/>
  <c r="AM104" i="1"/>
  <c r="AL104" i="1"/>
  <c r="AX104" i="1" s="1"/>
  <c r="AK104" i="1"/>
  <c r="AW104" i="1" s="1"/>
  <c r="AJ104" i="1"/>
  <c r="AI104" i="1"/>
  <c r="AU103" i="1"/>
  <c r="AT103" i="1"/>
  <c r="AZ103" i="1" s="1"/>
  <c r="AS103" i="1"/>
  <c r="AR103" i="1"/>
  <c r="AQ103" i="1"/>
  <c r="AY103" i="1" s="1"/>
  <c r="AP103" i="1"/>
  <c r="AO103" i="1"/>
  <c r="AN103" i="1"/>
  <c r="AM103" i="1"/>
  <c r="AL103" i="1"/>
  <c r="AK103" i="1"/>
  <c r="AW103" i="1" s="1"/>
  <c r="AJ103" i="1"/>
  <c r="AI103" i="1"/>
  <c r="AU102" i="1"/>
  <c r="AT102" i="1"/>
  <c r="AS102" i="1"/>
  <c r="AR102" i="1"/>
  <c r="AQ102" i="1"/>
  <c r="AP102" i="1"/>
  <c r="AO102" i="1"/>
  <c r="AN102" i="1"/>
  <c r="AM102" i="1"/>
  <c r="AL102" i="1"/>
  <c r="AK102" i="1"/>
  <c r="AW102" i="1" s="1"/>
  <c r="AJ102" i="1"/>
  <c r="AI102" i="1"/>
  <c r="AU101" i="1"/>
  <c r="AT101" i="1"/>
  <c r="AZ101" i="1" s="1"/>
  <c r="AS101" i="1"/>
  <c r="AR101" i="1"/>
  <c r="AQ101" i="1"/>
  <c r="AP101" i="1"/>
  <c r="AO101" i="1"/>
  <c r="AN101" i="1"/>
  <c r="AM101" i="1"/>
  <c r="AL101" i="1"/>
  <c r="AK101" i="1"/>
  <c r="AW101" i="1" s="1"/>
  <c r="AJ101" i="1"/>
  <c r="AI101" i="1"/>
  <c r="AU100" i="1"/>
  <c r="AT100" i="1"/>
  <c r="AZ100" i="1" s="1"/>
  <c r="AS100" i="1"/>
  <c r="AR100" i="1"/>
  <c r="AQ100" i="1"/>
  <c r="AP100" i="1"/>
  <c r="AO100" i="1"/>
  <c r="AN100" i="1"/>
  <c r="AM100" i="1"/>
  <c r="AL100" i="1"/>
  <c r="AK100" i="1"/>
  <c r="AW100" i="1" s="1"/>
  <c r="AJ100" i="1"/>
  <c r="AI100" i="1"/>
  <c r="AU99" i="1"/>
  <c r="AT99" i="1"/>
  <c r="AZ99" i="1" s="1"/>
  <c r="AS99" i="1"/>
  <c r="AR99" i="1"/>
  <c r="AQ99" i="1"/>
  <c r="AP99" i="1"/>
  <c r="AO99" i="1"/>
  <c r="AN99" i="1"/>
  <c r="AM99" i="1"/>
  <c r="AL99" i="1"/>
  <c r="AX99" i="1" s="1"/>
  <c r="AK99" i="1"/>
  <c r="AW99" i="1" s="1"/>
  <c r="AJ99" i="1"/>
  <c r="AI99" i="1"/>
  <c r="AV99" i="1" s="1"/>
  <c r="AU98" i="1"/>
  <c r="AT98" i="1"/>
  <c r="AZ98" i="1" s="1"/>
  <c r="AS98" i="1"/>
  <c r="AR98" i="1"/>
  <c r="AQ98" i="1"/>
  <c r="AP98" i="1"/>
  <c r="AO98" i="1"/>
  <c r="AN98" i="1"/>
  <c r="AM98" i="1"/>
  <c r="AL98" i="1"/>
  <c r="AK98" i="1"/>
  <c r="AW98" i="1" s="1"/>
  <c r="AJ98" i="1"/>
  <c r="AI98" i="1"/>
  <c r="AV98" i="1" s="1"/>
  <c r="AU97" i="1"/>
  <c r="AT97" i="1"/>
  <c r="AZ97" i="1" s="1"/>
  <c r="AS97" i="1"/>
  <c r="AR97" i="1"/>
  <c r="AQ97" i="1"/>
  <c r="AP97" i="1"/>
  <c r="AO97" i="1"/>
  <c r="AN97" i="1"/>
  <c r="AM97" i="1"/>
  <c r="AL97" i="1"/>
  <c r="AK97" i="1"/>
  <c r="AW97" i="1" s="1"/>
  <c r="AJ97" i="1"/>
  <c r="AI97" i="1"/>
  <c r="AV97" i="1" s="1"/>
  <c r="AU96" i="1"/>
  <c r="AT96" i="1"/>
  <c r="AS96" i="1"/>
  <c r="AR96" i="1"/>
  <c r="AQ96" i="1"/>
  <c r="AP96" i="1"/>
  <c r="AO96" i="1"/>
  <c r="AN96" i="1"/>
  <c r="AM96" i="1"/>
  <c r="AL96" i="1"/>
  <c r="AK96" i="1"/>
  <c r="AW96" i="1" s="1"/>
  <c r="AJ96" i="1"/>
  <c r="AI96" i="1"/>
  <c r="AU95" i="1"/>
  <c r="AT95" i="1"/>
  <c r="AZ95" i="1" s="1"/>
  <c r="AS95" i="1"/>
  <c r="AR95" i="1"/>
  <c r="AQ95" i="1"/>
  <c r="AY95" i="1" s="1"/>
  <c r="AP95" i="1"/>
  <c r="AO95" i="1"/>
  <c r="AN95" i="1"/>
  <c r="AM95" i="1"/>
  <c r="AL95" i="1"/>
  <c r="AK95" i="1"/>
  <c r="AW95" i="1" s="1"/>
  <c r="AJ95" i="1"/>
  <c r="AI95" i="1"/>
  <c r="AU94" i="1"/>
  <c r="AT94" i="1"/>
  <c r="AS94" i="1"/>
  <c r="AR94" i="1"/>
  <c r="AQ94" i="1"/>
  <c r="AP94" i="1"/>
  <c r="AO94" i="1"/>
  <c r="AN94" i="1"/>
  <c r="AM94" i="1"/>
  <c r="AL94" i="1"/>
  <c r="AK94" i="1"/>
  <c r="AW94" i="1" s="1"/>
  <c r="AJ94" i="1"/>
  <c r="AI94" i="1"/>
  <c r="AU93" i="1"/>
  <c r="AT93" i="1"/>
  <c r="AS93" i="1"/>
  <c r="AR93" i="1"/>
  <c r="AQ93" i="1"/>
  <c r="AY93" i="1" s="1"/>
  <c r="AP93" i="1"/>
  <c r="AO93" i="1"/>
  <c r="AN93" i="1"/>
  <c r="AM93" i="1"/>
  <c r="AL93" i="1"/>
  <c r="AK93" i="1"/>
  <c r="AW93" i="1" s="1"/>
  <c r="AJ93" i="1"/>
  <c r="AI93" i="1"/>
  <c r="AU92" i="1"/>
  <c r="AT92" i="1"/>
  <c r="AS92" i="1"/>
  <c r="AR92" i="1"/>
  <c r="AQ92" i="1"/>
  <c r="AP92" i="1"/>
  <c r="AO92" i="1"/>
  <c r="AN92" i="1"/>
  <c r="AM92" i="1"/>
  <c r="AL92" i="1"/>
  <c r="AX92" i="1" s="1"/>
  <c r="AK92" i="1"/>
  <c r="AW92" i="1" s="1"/>
  <c r="AJ92" i="1"/>
  <c r="AI92" i="1"/>
  <c r="AV92" i="1" s="1"/>
  <c r="AU91" i="1"/>
  <c r="AT91" i="1"/>
  <c r="AS91" i="1"/>
  <c r="AR91" i="1"/>
  <c r="AQ91" i="1"/>
  <c r="AP91" i="1"/>
  <c r="AO91" i="1"/>
  <c r="AN91" i="1"/>
  <c r="AM91" i="1"/>
  <c r="AL91" i="1"/>
  <c r="AK91" i="1"/>
  <c r="AW91" i="1" s="1"/>
  <c r="AJ91" i="1"/>
  <c r="AI91" i="1"/>
  <c r="AV91" i="1" s="1"/>
  <c r="AU90" i="1"/>
  <c r="AT90" i="1"/>
  <c r="AS90" i="1"/>
  <c r="AR90" i="1"/>
  <c r="AQ90" i="1"/>
  <c r="AP90" i="1"/>
  <c r="AO90" i="1"/>
  <c r="AN90" i="1"/>
  <c r="AM90" i="1"/>
  <c r="AL90" i="1"/>
  <c r="AX90" i="1" s="1"/>
  <c r="AK90" i="1"/>
  <c r="AW90" i="1" s="1"/>
  <c r="AJ90" i="1"/>
  <c r="AI90" i="1"/>
  <c r="AV90" i="1" s="1"/>
  <c r="AU89" i="1"/>
  <c r="AT89" i="1"/>
  <c r="AS89" i="1"/>
  <c r="AR89" i="1"/>
  <c r="AQ89" i="1"/>
  <c r="AP89" i="1"/>
  <c r="AO89" i="1"/>
  <c r="AN89" i="1"/>
  <c r="AM89" i="1"/>
  <c r="AL89" i="1"/>
  <c r="AK89" i="1"/>
  <c r="AW89" i="1" s="1"/>
  <c r="AJ89" i="1"/>
  <c r="AI89" i="1"/>
  <c r="AV89" i="1" s="1"/>
  <c r="AU88" i="1"/>
  <c r="AT88" i="1"/>
  <c r="AZ88" i="1" s="1"/>
  <c r="AS88" i="1"/>
  <c r="AR88" i="1"/>
  <c r="AQ88" i="1"/>
  <c r="AY88" i="1" s="1"/>
  <c r="AP88" i="1"/>
  <c r="AO88" i="1"/>
  <c r="AN88" i="1"/>
  <c r="AM88" i="1"/>
  <c r="AL88" i="1"/>
  <c r="AK88" i="1"/>
  <c r="AW88" i="1" s="1"/>
  <c r="AJ88" i="1"/>
  <c r="AI88" i="1"/>
  <c r="AU87" i="1"/>
  <c r="AT87" i="1"/>
  <c r="AZ87" i="1" s="1"/>
  <c r="AS87" i="1"/>
  <c r="AR87" i="1"/>
  <c r="AQ87" i="1"/>
  <c r="AP87" i="1"/>
  <c r="AO87" i="1"/>
  <c r="AN87" i="1"/>
  <c r="AM87" i="1"/>
  <c r="AL87" i="1"/>
  <c r="AK87" i="1"/>
  <c r="AW87" i="1" s="1"/>
  <c r="AJ87" i="1"/>
  <c r="AI87" i="1"/>
  <c r="AV87" i="1" s="1"/>
  <c r="AU86" i="1"/>
  <c r="AT86" i="1"/>
  <c r="AZ86" i="1" s="1"/>
  <c r="AS86" i="1"/>
  <c r="AR86" i="1"/>
  <c r="AQ86" i="1"/>
  <c r="AY86" i="1" s="1"/>
  <c r="AP86" i="1"/>
  <c r="AO86" i="1"/>
  <c r="AN86" i="1"/>
  <c r="AM86" i="1"/>
  <c r="AL86" i="1"/>
  <c r="AK86" i="1"/>
  <c r="AW86" i="1" s="1"/>
  <c r="AJ86" i="1"/>
  <c r="AI86" i="1"/>
  <c r="AV86" i="1" s="1"/>
  <c r="AU85" i="1"/>
  <c r="AT85" i="1"/>
  <c r="AS85" i="1"/>
  <c r="AR85" i="1"/>
  <c r="AQ85" i="1"/>
  <c r="AY85" i="1" s="1"/>
  <c r="AP85" i="1"/>
  <c r="AO85" i="1"/>
  <c r="AN85" i="1"/>
  <c r="AM85" i="1"/>
  <c r="AL85" i="1"/>
  <c r="AX85" i="1" s="1"/>
  <c r="AK85" i="1"/>
  <c r="AW85" i="1" s="1"/>
  <c r="AJ85" i="1"/>
  <c r="AI85" i="1"/>
  <c r="AU84" i="1"/>
  <c r="AT84" i="1"/>
  <c r="AS84" i="1"/>
  <c r="AR84" i="1"/>
  <c r="AQ84" i="1"/>
  <c r="AP84" i="1"/>
  <c r="AO84" i="1"/>
  <c r="AN84" i="1"/>
  <c r="AM84" i="1"/>
  <c r="AL84" i="1"/>
  <c r="AK84" i="1"/>
  <c r="AW84" i="1" s="1"/>
  <c r="AJ84" i="1"/>
  <c r="AI84" i="1"/>
  <c r="AU83" i="1"/>
  <c r="AT83" i="1"/>
  <c r="AS83" i="1"/>
  <c r="AR83" i="1"/>
  <c r="AQ83" i="1"/>
  <c r="AP83" i="1"/>
  <c r="AO83" i="1"/>
  <c r="AN83" i="1"/>
  <c r="AM83" i="1"/>
  <c r="AL83" i="1"/>
  <c r="AK83" i="1"/>
  <c r="AW83" i="1" s="1"/>
  <c r="AJ83" i="1"/>
  <c r="AI83" i="1"/>
  <c r="AU82" i="1"/>
  <c r="AT82" i="1"/>
  <c r="AS82" i="1"/>
  <c r="AR82" i="1"/>
  <c r="AQ82" i="1"/>
  <c r="AP82" i="1"/>
  <c r="AO82" i="1"/>
  <c r="AN82" i="1"/>
  <c r="AM82" i="1"/>
  <c r="AL82" i="1"/>
  <c r="AX82" i="1" s="1"/>
  <c r="AK82" i="1"/>
  <c r="AW82" i="1" s="1"/>
  <c r="AJ82" i="1"/>
  <c r="AI82" i="1"/>
  <c r="AU81" i="1"/>
  <c r="AT81" i="1"/>
  <c r="AZ81" i="1" s="1"/>
  <c r="AS81" i="1"/>
  <c r="AR81" i="1"/>
  <c r="AQ81" i="1"/>
  <c r="AP81" i="1"/>
  <c r="AO81" i="1"/>
  <c r="AN81" i="1"/>
  <c r="AM81" i="1"/>
  <c r="AL81" i="1"/>
  <c r="AK81" i="1"/>
  <c r="AW81" i="1" s="1"/>
  <c r="AJ81" i="1"/>
  <c r="AI81" i="1"/>
  <c r="AV81" i="1" s="1"/>
  <c r="AU80" i="1"/>
  <c r="AT80" i="1"/>
  <c r="AZ80" i="1" s="1"/>
  <c r="AS80" i="1"/>
  <c r="AR80" i="1"/>
  <c r="AQ80" i="1"/>
  <c r="AP80" i="1"/>
  <c r="AO80" i="1"/>
  <c r="AN80" i="1"/>
  <c r="AM80" i="1"/>
  <c r="AL80" i="1"/>
  <c r="AK80" i="1"/>
  <c r="AW80" i="1" s="1"/>
  <c r="AJ80" i="1"/>
  <c r="AI80" i="1"/>
  <c r="AU79" i="1"/>
  <c r="AT79" i="1"/>
  <c r="AZ79" i="1" s="1"/>
  <c r="AS79" i="1"/>
  <c r="AR79" i="1"/>
  <c r="AQ79" i="1"/>
  <c r="AP79" i="1"/>
  <c r="AO79" i="1"/>
  <c r="AN79" i="1"/>
  <c r="AM79" i="1"/>
  <c r="AL79" i="1"/>
  <c r="AK79" i="1"/>
  <c r="AW79" i="1" s="1"/>
  <c r="AJ79" i="1"/>
  <c r="AI79" i="1"/>
  <c r="AU78" i="1"/>
  <c r="AT78" i="1"/>
  <c r="AZ78" i="1" s="1"/>
  <c r="AS78" i="1"/>
  <c r="AR78" i="1"/>
  <c r="AQ78" i="1"/>
  <c r="AP78" i="1"/>
  <c r="AO78" i="1"/>
  <c r="AN78" i="1"/>
  <c r="AM78" i="1"/>
  <c r="AL78" i="1"/>
  <c r="AK78" i="1"/>
  <c r="AW78" i="1" s="1"/>
  <c r="AJ78" i="1"/>
  <c r="AI78" i="1"/>
  <c r="AU77" i="1"/>
  <c r="AT77" i="1"/>
  <c r="AS77" i="1"/>
  <c r="AR77" i="1"/>
  <c r="AQ77" i="1"/>
  <c r="AP77" i="1"/>
  <c r="AO77" i="1"/>
  <c r="AN77" i="1"/>
  <c r="AM77" i="1"/>
  <c r="AL77" i="1"/>
  <c r="AK77" i="1"/>
  <c r="AW77" i="1" s="1"/>
  <c r="AJ77" i="1"/>
  <c r="AI77" i="1"/>
  <c r="AV77" i="1" s="1"/>
  <c r="AU76" i="1"/>
  <c r="AT76" i="1"/>
  <c r="AZ76" i="1" s="1"/>
  <c r="AS76" i="1"/>
  <c r="AR76" i="1"/>
  <c r="AQ76" i="1"/>
  <c r="AP76" i="1"/>
  <c r="AO76" i="1"/>
  <c r="AN76" i="1"/>
  <c r="AM76" i="1"/>
  <c r="AL76" i="1"/>
  <c r="AK76" i="1"/>
  <c r="AW76" i="1" s="1"/>
  <c r="AJ76" i="1"/>
  <c r="AI76" i="1"/>
  <c r="AV76" i="1" s="1"/>
  <c r="AU75" i="1"/>
  <c r="AT75" i="1"/>
  <c r="AS75" i="1"/>
  <c r="AR75" i="1"/>
  <c r="AQ75" i="1"/>
  <c r="AP75" i="1"/>
  <c r="AO75" i="1"/>
  <c r="AN75" i="1"/>
  <c r="AM75" i="1"/>
  <c r="AL75" i="1"/>
  <c r="AK75" i="1"/>
  <c r="AW75" i="1" s="1"/>
  <c r="AJ75" i="1"/>
  <c r="AI75" i="1"/>
  <c r="AV75" i="1" s="1"/>
  <c r="AU74" i="1"/>
  <c r="AT74" i="1"/>
  <c r="AS74" i="1"/>
  <c r="AR74" i="1"/>
  <c r="AQ74" i="1"/>
  <c r="AP74" i="1"/>
  <c r="AO74" i="1"/>
  <c r="AN74" i="1"/>
  <c r="AM74" i="1"/>
  <c r="AL74" i="1"/>
  <c r="AK74" i="1"/>
  <c r="AW74" i="1" s="1"/>
  <c r="AJ74" i="1"/>
  <c r="AI74" i="1"/>
  <c r="AU73" i="1"/>
  <c r="AT73" i="1"/>
  <c r="AS73" i="1"/>
  <c r="AR73" i="1"/>
  <c r="AQ73" i="1"/>
  <c r="AY73" i="1" s="1"/>
  <c r="AP73" i="1"/>
  <c r="AO73" i="1"/>
  <c r="AN73" i="1"/>
  <c r="AM73" i="1"/>
  <c r="AL73" i="1"/>
  <c r="AK73" i="1"/>
  <c r="AW73" i="1" s="1"/>
  <c r="AJ73" i="1"/>
  <c r="AI73" i="1"/>
  <c r="AU72" i="1"/>
  <c r="AT72" i="1"/>
  <c r="AS72" i="1"/>
  <c r="AR72" i="1"/>
  <c r="AQ72" i="1"/>
  <c r="AP72" i="1"/>
  <c r="AO72" i="1"/>
  <c r="AN72" i="1"/>
  <c r="AM72" i="1"/>
  <c r="AL72" i="1"/>
  <c r="AK72" i="1"/>
  <c r="AW72" i="1" s="1"/>
  <c r="AJ72" i="1"/>
  <c r="AI72" i="1"/>
  <c r="AU71" i="1"/>
  <c r="AT71" i="1"/>
  <c r="AS71" i="1"/>
  <c r="AR71" i="1"/>
  <c r="AQ71" i="1"/>
  <c r="AY71" i="1" s="1"/>
  <c r="AP71" i="1"/>
  <c r="AO71" i="1"/>
  <c r="AN71" i="1"/>
  <c r="AM71" i="1"/>
  <c r="AL71" i="1"/>
  <c r="AK71" i="1"/>
  <c r="AW71" i="1" s="1"/>
  <c r="AJ71" i="1"/>
  <c r="AI71" i="1"/>
  <c r="AU70" i="1"/>
  <c r="AT70" i="1"/>
  <c r="AS70" i="1"/>
  <c r="AR70" i="1"/>
  <c r="AQ70" i="1"/>
  <c r="AP70" i="1"/>
  <c r="AO70" i="1"/>
  <c r="AN70" i="1"/>
  <c r="AM70" i="1"/>
  <c r="AL70" i="1"/>
  <c r="AX70" i="1" s="1"/>
  <c r="AK70" i="1"/>
  <c r="AW70" i="1" s="1"/>
  <c r="AJ70" i="1"/>
  <c r="AI70" i="1"/>
  <c r="AV70" i="1" s="1"/>
  <c r="AU69" i="1"/>
  <c r="AT69" i="1"/>
  <c r="AS69" i="1"/>
  <c r="AR69" i="1"/>
  <c r="AQ69" i="1"/>
  <c r="AP69" i="1"/>
  <c r="AO69" i="1"/>
  <c r="AN69" i="1"/>
  <c r="AM69" i="1"/>
  <c r="AL69" i="1"/>
  <c r="AK69" i="1"/>
  <c r="AW69" i="1" s="1"/>
  <c r="AJ69" i="1"/>
  <c r="AI69" i="1"/>
  <c r="AU68" i="1"/>
  <c r="AT68" i="1"/>
  <c r="AZ68" i="1" s="1"/>
  <c r="AS68" i="1"/>
  <c r="AR68" i="1"/>
  <c r="AQ68" i="1"/>
  <c r="AP68" i="1"/>
  <c r="AO68" i="1"/>
  <c r="AN68" i="1"/>
  <c r="AM68" i="1"/>
  <c r="AL68" i="1"/>
  <c r="AX68" i="1" s="1"/>
  <c r="AK68" i="1"/>
  <c r="AW68" i="1" s="1"/>
  <c r="AJ68" i="1"/>
  <c r="AI68" i="1"/>
  <c r="AV68" i="1" s="1"/>
  <c r="AU67" i="1"/>
  <c r="AT67" i="1"/>
  <c r="AS67" i="1"/>
  <c r="AR67" i="1"/>
  <c r="AQ67" i="1"/>
  <c r="AP67" i="1"/>
  <c r="AO67" i="1"/>
  <c r="AN67" i="1"/>
  <c r="AM67" i="1"/>
  <c r="AL67" i="1"/>
  <c r="AK67" i="1"/>
  <c r="AW67" i="1" s="1"/>
  <c r="AJ67" i="1"/>
  <c r="AI67" i="1"/>
  <c r="AV67" i="1" s="1"/>
  <c r="AU66" i="1"/>
  <c r="AT66" i="1"/>
  <c r="AZ66" i="1" s="1"/>
  <c r="AS66" i="1"/>
  <c r="AR66" i="1"/>
  <c r="AQ66" i="1"/>
  <c r="AY66" i="1" s="1"/>
  <c r="AP66" i="1"/>
  <c r="AO66" i="1"/>
  <c r="AN66" i="1"/>
  <c r="AM66" i="1"/>
  <c r="AL66" i="1"/>
  <c r="AK66" i="1"/>
  <c r="AW66" i="1" s="1"/>
  <c r="AJ66" i="1"/>
  <c r="AI66" i="1"/>
  <c r="AU65" i="1"/>
  <c r="AT65" i="1"/>
  <c r="AZ65" i="1" s="1"/>
  <c r="AS65" i="1"/>
  <c r="AR65" i="1"/>
  <c r="AQ65" i="1"/>
  <c r="AP65" i="1"/>
  <c r="AO65" i="1"/>
  <c r="AN65" i="1"/>
  <c r="AM65" i="1"/>
  <c r="AL65" i="1"/>
  <c r="AK65" i="1"/>
  <c r="AW65" i="1" s="1"/>
  <c r="AJ65" i="1"/>
  <c r="AI65" i="1"/>
  <c r="AV65" i="1" s="1"/>
  <c r="AU64" i="1"/>
  <c r="AT64" i="1"/>
  <c r="AZ64" i="1" s="1"/>
  <c r="AS64" i="1"/>
  <c r="AR64" i="1"/>
  <c r="AQ64" i="1"/>
  <c r="AY64" i="1" s="1"/>
  <c r="AP64" i="1"/>
  <c r="AO64" i="1"/>
  <c r="AN64" i="1"/>
  <c r="AM64" i="1"/>
  <c r="AL64" i="1"/>
  <c r="AK64" i="1"/>
  <c r="AJ64" i="1"/>
  <c r="AI64" i="1"/>
  <c r="AV64" i="1" s="1"/>
  <c r="AU63" i="1"/>
  <c r="AT63" i="1"/>
  <c r="AS63" i="1"/>
  <c r="AR63" i="1"/>
  <c r="AQ63" i="1"/>
  <c r="AY63" i="1" s="1"/>
  <c r="AP63" i="1"/>
  <c r="AO63" i="1"/>
  <c r="AN63" i="1"/>
  <c r="AM63" i="1"/>
  <c r="AL63" i="1"/>
  <c r="AX63" i="1" s="1"/>
  <c r="AK63" i="1"/>
  <c r="AW63" i="1" s="1"/>
  <c r="AJ63" i="1"/>
  <c r="AI63" i="1"/>
  <c r="AU62" i="1"/>
  <c r="AT62" i="1"/>
  <c r="AS62" i="1"/>
  <c r="AR62" i="1"/>
  <c r="AQ62" i="1"/>
  <c r="AP62" i="1"/>
  <c r="AO62" i="1"/>
  <c r="AN62" i="1"/>
  <c r="AM62" i="1"/>
  <c r="AL62" i="1"/>
  <c r="AK62" i="1"/>
  <c r="AW62" i="1" s="1"/>
  <c r="AJ62" i="1"/>
  <c r="AI62" i="1"/>
  <c r="AU61" i="1"/>
  <c r="AT61" i="1"/>
  <c r="AS61" i="1"/>
  <c r="AR61" i="1"/>
  <c r="AQ61" i="1"/>
  <c r="AP61" i="1"/>
  <c r="AO61" i="1"/>
  <c r="AN61" i="1"/>
  <c r="AM61" i="1"/>
  <c r="AL61" i="1"/>
  <c r="AK61" i="1"/>
  <c r="AW61" i="1" s="1"/>
  <c r="AJ61" i="1"/>
  <c r="AI61" i="1"/>
  <c r="AU60" i="1"/>
  <c r="AT60" i="1"/>
  <c r="AS60" i="1"/>
  <c r="AR60" i="1"/>
  <c r="AQ60" i="1"/>
  <c r="AY60" i="1" s="1"/>
  <c r="AP60" i="1"/>
  <c r="AO60" i="1"/>
  <c r="AN60" i="1"/>
  <c r="AM60" i="1"/>
  <c r="AL60" i="1"/>
  <c r="AK60" i="1"/>
  <c r="AW60" i="1" s="1"/>
  <c r="AJ60" i="1"/>
  <c r="AI60" i="1"/>
  <c r="AU59" i="1"/>
  <c r="AT59" i="1"/>
  <c r="AZ59" i="1" s="1"/>
  <c r="AS59" i="1"/>
  <c r="AR59" i="1"/>
  <c r="AQ59" i="1"/>
  <c r="AY59" i="1" s="1"/>
  <c r="AP59" i="1"/>
  <c r="AO59" i="1"/>
  <c r="AN59" i="1"/>
  <c r="AM59" i="1"/>
  <c r="AL59" i="1"/>
  <c r="AK59" i="1"/>
  <c r="AW59" i="1" s="1"/>
  <c r="AJ59" i="1"/>
  <c r="AI59" i="1"/>
  <c r="AU58" i="1"/>
  <c r="AT58" i="1"/>
  <c r="AZ58" i="1" s="1"/>
  <c r="AS58" i="1"/>
  <c r="AR58" i="1"/>
  <c r="AQ58" i="1"/>
  <c r="AP58" i="1"/>
  <c r="AO58" i="1"/>
  <c r="AN58" i="1"/>
  <c r="AM58" i="1"/>
  <c r="AL58" i="1"/>
  <c r="AK58" i="1"/>
  <c r="AW58" i="1" s="1"/>
  <c r="AJ58" i="1"/>
  <c r="AI58" i="1"/>
  <c r="AU57" i="1"/>
  <c r="AT57" i="1"/>
  <c r="AZ57" i="1" s="1"/>
  <c r="AS57" i="1"/>
  <c r="AR57" i="1"/>
  <c r="AQ57" i="1"/>
  <c r="AP57" i="1"/>
  <c r="AO57" i="1"/>
  <c r="AN57" i="1"/>
  <c r="AM57" i="1"/>
  <c r="AL57" i="1"/>
  <c r="AK57" i="1"/>
  <c r="AW57" i="1" s="1"/>
  <c r="AJ57" i="1"/>
  <c r="AI57" i="1"/>
  <c r="AU56" i="1"/>
  <c r="AT56" i="1"/>
  <c r="AZ56" i="1" s="1"/>
  <c r="AS56" i="1"/>
  <c r="AR56" i="1"/>
  <c r="AQ56" i="1"/>
  <c r="AP56" i="1"/>
  <c r="AO56" i="1"/>
  <c r="AN56" i="1"/>
  <c r="AM56" i="1"/>
  <c r="AL56" i="1"/>
  <c r="AK56" i="1"/>
  <c r="AW56" i="1" s="1"/>
  <c r="AJ56" i="1"/>
  <c r="AI56" i="1"/>
  <c r="AU55" i="1"/>
  <c r="AT55" i="1"/>
  <c r="AS55" i="1"/>
  <c r="AR55" i="1"/>
  <c r="AQ55" i="1"/>
  <c r="AP55" i="1"/>
  <c r="AO55" i="1"/>
  <c r="AN55" i="1"/>
  <c r="AM55" i="1"/>
  <c r="AL55" i="1"/>
  <c r="AK55" i="1"/>
  <c r="AW55" i="1" s="1"/>
  <c r="AJ55" i="1"/>
  <c r="AI55" i="1"/>
  <c r="AV55" i="1" s="1"/>
  <c r="AU54" i="1"/>
  <c r="AT54" i="1"/>
  <c r="AZ54" i="1" s="1"/>
  <c r="AS54" i="1"/>
  <c r="AR54" i="1"/>
  <c r="AQ54" i="1"/>
  <c r="AP54" i="1"/>
  <c r="AO54" i="1"/>
  <c r="AN54" i="1"/>
  <c r="AM54" i="1"/>
  <c r="AL54" i="1"/>
  <c r="AK54" i="1"/>
  <c r="AW54" i="1" s="1"/>
  <c r="AJ54" i="1"/>
  <c r="AI54" i="1"/>
  <c r="AV54" i="1" s="1"/>
  <c r="AU53" i="1"/>
  <c r="AT53" i="1"/>
  <c r="AS53" i="1"/>
  <c r="AR53" i="1"/>
  <c r="AQ53" i="1"/>
  <c r="AP53" i="1"/>
  <c r="AO53" i="1"/>
  <c r="AN53" i="1"/>
  <c r="AM53" i="1"/>
  <c r="AL53" i="1"/>
  <c r="AK53" i="1"/>
  <c r="AW53" i="1" s="1"/>
  <c r="AJ53" i="1"/>
  <c r="AI53" i="1"/>
  <c r="AV53" i="1" s="1"/>
  <c r="AU52" i="1"/>
  <c r="AT52" i="1"/>
  <c r="AS52" i="1"/>
  <c r="AR52" i="1"/>
  <c r="AQ52" i="1"/>
  <c r="AP52" i="1"/>
  <c r="AO52" i="1"/>
  <c r="AN52" i="1"/>
  <c r="AM52" i="1"/>
  <c r="AL52" i="1"/>
  <c r="AK52" i="1"/>
  <c r="AW52" i="1" s="1"/>
  <c r="AJ52" i="1"/>
  <c r="AI52" i="1"/>
  <c r="AU51" i="1"/>
  <c r="AT51" i="1"/>
  <c r="AS51" i="1"/>
  <c r="AR51" i="1"/>
  <c r="AQ51" i="1"/>
  <c r="AY51" i="1" s="1"/>
  <c r="AP51" i="1"/>
  <c r="AO51" i="1"/>
  <c r="AN51" i="1"/>
  <c r="AM51" i="1"/>
  <c r="AL51" i="1"/>
  <c r="AK51" i="1"/>
  <c r="AW51" i="1" s="1"/>
  <c r="AJ51" i="1"/>
  <c r="AI51" i="1"/>
  <c r="AU50" i="1"/>
  <c r="AT50" i="1"/>
  <c r="AS50" i="1"/>
  <c r="AR50" i="1"/>
  <c r="AQ50" i="1"/>
  <c r="AP50" i="1"/>
  <c r="AO50" i="1"/>
  <c r="AN50" i="1"/>
  <c r="AM50" i="1"/>
  <c r="AL50" i="1"/>
  <c r="AK50" i="1"/>
  <c r="AW50" i="1" s="1"/>
  <c r="AJ50" i="1"/>
  <c r="AI50" i="1"/>
  <c r="AU49" i="1"/>
  <c r="AT49" i="1"/>
  <c r="AS49" i="1"/>
  <c r="AR49" i="1"/>
  <c r="AQ49" i="1"/>
  <c r="AY49" i="1" s="1"/>
  <c r="AP49" i="1"/>
  <c r="AO49" i="1"/>
  <c r="AN49" i="1"/>
  <c r="AM49" i="1"/>
  <c r="AL49" i="1"/>
  <c r="AK49" i="1"/>
  <c r="AW49" i="1" s="1"/>
  <c r="AJ49" i="1"/>
  <c r="AI49" i="1"/>
  <c r="AU48" i="1"/>
  <c r="AT48" i="1"/>
  <c r="AS48" i="1"/>
  <c r="AR48" i="1"/>
  <c r="AQ48" i="1"/>
  <c r="AP48" i="1"/>
  <c r="AO48" i="1"/>
  <c r="AN48" i="1"/>
  <c r="AM48" i="1"/>
  <c r="AL48" i="1"/>
  <c r="AX48" i="1" s="1"/>
  <c r="AK48" i="1"/>
  <c r="AW48" i="1" s="1"/>
  <c r="AJ48" i="1"/>
  <c r="AI48" i="1"/>
  <c r="AV48" i="1" s="1"/>
  <c r="AU47" i="1"/>
  <c r="AT47" i="1"/>
  <c r="AS47" i="1"/>
  <c r="AR47" i="1"/>
  <c r="AQ47" i="1"/>
  <c r="AP47" i="1"/>
  <c r="AO47" i="1"/>
  <c r="AN47" i="1"/>
  <c r="AM47" i="1"/>
  <c r="AL47" i="1"/>
  <c r="AK47" i="1"/>
  <c r="AW47" i="1" s="1"/>
  <c r="AJ47" i="1"/>
  <c r="AI47" i="1"/>
  <c r="AV47" i="1" s="1"/>
  <c r="AU46" i="1"/>
  <c r="AT46" i="1"/>
  <c r="AZ46" i="1" s="1"/>
  <c r="AS46" i="1"/>
  <c r="AR46" i="1"/>
  <c r="AQ46" i="1"/>
  <c r="AP46" i="1"/>
  <c r="AO46" i="1"/>
  <c r="AN46" i="1"/>
  <c r="AM46" i="1"/>
  <c r="AL46" i="1"/>
  <c r="AX46" i="1" s="1"/>
  <c r="AK46" i="1"/>
  <c r="AW46" i="1" s="1"/>
  <c r="AJ46" i="1"/>
  <c r="AI46" i="1"/>
  <c r="AV46" i="1" s="1"/>
  <c r="AU45" i="1"/>
  <c r="AT45" i="1"/>
  <c r="AS45" i="1"/>
  <c r="AR45" i="1"/>
  <c r="AQ45" i="1"/>
  <c r="AP45" i="1"/>
  <c r="AO45" i="1"/>
  <c r="AN45" i="1"/>
  <c r="AM45" i="1"/>
  <c r="AL45" i="1"/>
  <c r="AK45" i="1"/>
  <c r="AW45" i="1" s="1"/>
  <c r="AJ45" i="1"/>
  <c r="AI45" i="1"/>
  <c r="AV45" i="1" s="1"/>
  <c r="AU44" i="1"/>
  <c r="AT44" i="1"/>
  <c r="AZ44" i="1" s="1"/>
  <c r="AS44" i="1"/>
  <c r="AR44" i="1"/>
  <c r="AQ44" i="1"/>
  <c r="AY44" i="1" s="1"/>
  <c r="AP44" i="1"/>
  <c r="AO44" i="1"/>
  <c r="AN44" i="1"/>
  <c r="AM44" i="1"/>
  <c r="AL44" i="1"/>
  <c r="AK44" i="1"/>
  <c r="AW44" i="1" s="1"/>
  <c r="AJ44" i="1"/>
  <c r="AI44" i="1"/>
  <c r="AU43" i="1"/>
  <c r="AT43" i="1"/>
  <c r="AZ43" i="1" s="1"/>
  <c r="AS43" i="1"/>
  <c r="AR43" i="1"/>
  <c r="AQ43" i="1"/>
  <c r="AP43" i="1"/>
  <c r="AO43" i="1"/>
  <c r="AN43" i="1"/>
  <c r="AM43" i="1"/>
  <c r="AL43" i="1"/>
  <c r="AK43" i="1"/>
  <c r="AW43" i="1" s="1"/>
  <c r="AJ43" i="1"/>
  <c r="AI43" i="1"/>
  <c r="AV43" i="1" s="1"/>
  <c r="AU42" i="1"/>
  <c r="AT42" i="1"/>
  <c r="AZ42" i="1" s="1"/>
  <c r="AS42" i="1"/>
  <c r="AR42" i="1"/>
  <c r="AQ42" i="1"/>
  <c r="AY42" i="1" s="1"/>
  <c r="AP42" i="1"/>
  <c r="AO42" i="1"/>
  <c r="AN42" i="1"/>
  <c r="AM42" i="1"/>
  <c r="AL42" i="1"/>
  <c r="AK42" i="1"/>
  <c r="AW42" i="1" s="1"/>
  <c r="AJ42" i="1"/>
  <c r="AI42" i="1"/>
  <c r="AU41" i="1"/>
  <c r="AT41" i="1"/>
  <c r="AS41" i="1"/>
  <c r="AR41" i="1"/>
  <c r="AQ41" i="1"/>
  <c r="AY41" i="1" s="1"/>
  <c r="AP41" i="1"/>
  <c r="AO41" i="1"/>
  <c r="AN41" i="1"/>
  <c r="AM41" i="1"/>
  <c r="AL41" i="1"/>
  <c r="AX41" i="1" s="1"/>
  <c r="AK41" i="1"/>
  <c r="AW41" i="1" s="1"/>
  <c r="AJ41" i="1"/>
  <c r="AI41" i="1"/>
  <c r="AU40" i="1"/>
  <c r="AT40" i="1"/>
  <c r="AS40" i="1"/>
  <c r="AR40" i="1"/>
  <c r="AQ40" i="1"/>
  <c r="AP40" i="1"/>
  <c r="AO40" i="1"/>
  <c r="AN40" i="1"/>
  <c r="AM40" i="1"/>
  <c r="AL40" i="1"/>
  <c r="AK40" i="1"/>
  <c r="AW40" i="1" s="1"/>
  <c r="AJ40" i="1"/>
  <c r="AI40" i="1"/>
  <c r="AU39" i="1"/>
  <c r="AT39" i="1"/>
  <c r="AS39" i="1"/>
  <c r="AR39" i="1"/>
  <c r="AQ39" i="1"/>
  <c r="AP39" i="1"/>
  <c r="AO39" i="1"/>
  <c r="AN39" i="1"/>
  <c r="AM39" i="1"/>
  <c r="AL39" i="1"/>
  <c r="AK39" i="1"/>
  <c r="AW39" i="1" s="1"/>
  <c r="AJ39" i="1"/>
  <c r="AI39" i="1"/>
  <c r="AU38" i="1"/>
  <c r="AT38" i="1"/>
  <c r="AS38" i="1"/>
  <c r="AR38" i="1"/>
  <c r="AQ38" i="1"/>
  <c r="AP38" i="1"/>
  <c r="AO38" i="1"/>
  <c r="AN38" i="1"/>
  <c r="AM38" i="1"/>
  <c r="AL38" i="1"/>
  <c r="AK38" i="1"/>
  <c r="AW38" i="1" s="1"/>
  <c r="AJ38" i="1"/>
  <c r="AI38" i="1"/>
  <c r="AU37" i="1"/>
  <c r="AT37" i="1"/>
  <c r="AZ37" i="1" s="1"/>
  <c r="AS37" i="1"/>
  <c r="AR37" i="1"/>
  <c r="AQ37" i="1"/>
  <c r="AP37" i="1"/>
  <c r="AO37" i="1"/>
  <c r="AN37" i="1"/>
  <c r="AM37" i="1"/>
  <c r="AL37" i="1"/>
  <c r="AK37" i="1"/>
  <c r="AW37" i="1" s="1"/>
  <c r="AJ37" i="1"/>
  <c r="AI37" i="1"/>
  <c r="AU36" i="1"/>
  <c r="AT36" i="1"/>
  <c r="AS36" i="1"/>
  <c r="AR36" i="1"/>
  <c r="AQ36" i="1"/>
  <c r="AP36" i="1"/>
  <c r="AO36" i="1"/>
  <c r="AN36" i="1"/>
  <c r="AM36" i="1"/>
  <c r="AL36" i="1"/>
  <c r="AK36" i="1"/>
  <c r="AW36" i="1" s="1"/>
  <c r="AJ36" i="1"/>
  <c r="AI36" i="1"/>
  <c r="AU35" i="1"/>
  <c r="AT35" i="1"/>
  <c r="AZ35" i="1" s="1"/>
  <c r="AS35" i="1"/>
  <c r="AR35" i="1"/>
  <c r="AQ35" i="1"/>
  <c r="AP35" i="1"/>
  <c r="AO35" i="1"/>
  <c r="AN35" i="1"/>
  <c r="AM35" i="1"/>
  <c r="AL35" i="1"/>
  <c r="AK35" i="1"/>
  <c r="AW35" i="1" s="1"/>
  <c r="AJ35" i="1"/>
  <c r="AI35" i="1"/>
  <c r="AU34" i="1"/>
  <c r="AT34" i="1"/>
  <c r="AZ34" i="1" s="1"/>
  <c r="AS34" i="1"/>
  <c r="AR34" i="1"/>
  <c r="AQ34" i="1"/>
  <c r="AP34" i="1"/>
  <c r="AO34" i="1"/>
  <c r="AN34" i="1"/>
  <c r="AM34" i="1"/>
  <c r="AL34" i="1"/>
  <c r="AK34" i="1"/>
  <c r="AW34" i="1" s="1"/>
  <c r="AJ34" i="1"/>
  <c r="AI34" i="1"/>
  <c r="AU33" i="1"/>
  <c r="AT33" i="1"/>
  <c r="AZ33" i="1" s="1"/>
  <c r="AS33" i="1"/>
  <c r="AR33" i="1"/>
  <c r="AQ33" i="1"/>
  <c r="AP33" i="1"/>
  <c r="AO33" i="1"/>
  <c r="AN33" i="1"/>
  <c r="AM33" i="1"/>
  <c r="AL33" i="1"/>
  <c r="AK33" i="1"/>
  <c r="AW33" i="1" s="1"/>
  <c r="AJ33" i="1"/>
  <c r="AI33" i="1"/>
  <c r="AV33" i="1" s="1"/>
  <c r="AU32" i="1"/>
  <c r="AT32" i="1"/>
  <c r="AZ32" i="1" s="1"/>
  <c r="AS32" i="1"/>
  <c r="AR32" i="1"/>
  <c r="AQ32" i="1"/>
  <c r="AP32" i="1"/>
  <c r="AO32" i="1"/>
  <c r="AN32" i="1"/>
  <c r="AM32" i="1"/>
  <c r="AL32" i="1"/>
  <c r="AK32" i="1"/>
  <c r="AW32" i="1" s="1"/>
  <c r="AJ32" i="1"/>
  <c r="AI32" i="1"/>
  <c r="AV32" i="1" s="1"/>
  <c r="AU31" i="1"/>
  <c r="AT31" i="1"/>
  <c r="AS31" i="1"/>
  <c r="AR31" i="1"/>
  <c r="AQ31" i="1"/>
  <c r="AP31" i="1"/>
  <c r="AO31" i="1"/>
  <c r="AN31" i="1"/>
  <c r="AM31" i="1"/>
  <c r="AL31" i="1"/>
  <c r="AK31" i="1"/>
  <c r="AW31" i="1" s="1"/>
  <c r="AJ31" i="1"/>
  <c r="AI31" i="1"/>
  <c r="AV31" i="1" s="1"/>
  <c r="AU30" i="1"/>
  <c r="AT30" i="1"/>
  <c r="AS30" i="1"/>
  <c r="AR30" i="1"/>
  <c r="AQ30" i="1"/>
  <c r="AP30" i="1"/>
  <c r="AO30" i="1"/>
  <c r="AN30" i="1"/>
  <c r="AM30" i="1"/>
  <c r="AL30" i="1"/>
  <c r="AK30" i="1"/>
  <c r="AW30" i="1" s="1"/>
  <c r="AJ30" i="1"/>
  <c r="AI30" i="1"/>
  <c r="AU29" i="1"/>
  <c r="AT29" i="1"/>
  <c r="AS29" i="1"/>
  <c r="AR29" i="1"/>
  <c r="AQ29" i="1"/>
  <c r="AY29" i="1" s="1"/>
  <c r="AP29" i="1"/>
  <c r="AO29" i="1"/>
  <c r="AN29" i="1"/>
  <c r="AM29" i="1"/>
  <c r="AL29" i="1"/>
  <c r="AK29" i="1"/>
  <c r="AW29" i="1" s="1"/>
  <c r="AJ29" i="1"/>
  <c r="AI29" i="1"/>
  <c r="AV29" i="1" s="1"/>
  <c r="AU28" i="1"/>
  <c r="AT28" i="1"/>
  <c r="AZ28" i="1" s="1"/>
  <c r="AS28" i="1"/>
  <c r="AR28" i="1"/>
  <c r="AQ28" i="1"/>
  <c r="AP28" i="1"/>
  <c r="AO28" i="1"/>
  <c r="AN28" i="1"/>
  <c r="AM28" i="1"/>
  <c r="AL28" i="1"/>
  <c r="AK28" i="1"/>
  <c r="AW28" i="1" s="1"/>
  <c r="AJ28" i="1"/>
  <c r="AI28" i="1"/>
  <c r="AU27" i="1"/>
  <c r="AT27" i="1"/>
  <c r="AS27" i="1"/>
  <c r="AR27" i="1"/>
  <c r="AQ27" i="1"/>
  <c r="AY27" i="1" s="1"/>
  <c r="AP27" i="1"/>
  <c r="AO27" i="1"/>
  <c r="AN27" i="1"/>
  <c r="AM27" i="1"/>
  <c r="AL27" i="1"/>
  <c r="AK27" i="1"/>
  <c r="AW27" i="1" s="1"/>
  <c r="AJ27" i="1"/>
  <c r="AI27" i="1"/>
  <c r="AU26" i="1"/>
  <c r="AT26" i="1"/>
  <c r="AS26" i="1"/>
  <c r="AR26" i="1"/>
  <c r="AQ26" i="1"/>
  <c r="AP26" i="1"/>
  <c r="AO26" i="1"/>
  <c r="AN26" i="1"/>
  <c r="AM26" i="1"/>
  <c r="AL26" i="1"/>
  <c r="AX26" i="1" s="1"/>
  <c r="AK26" i="1"/>
  <c r="AW26" i="1" s="1"/>
  <c r="AJ26" i="1"/>
  <c r="AI26" i="1"/>
  <c r="AV26" i="1" s="1"/>
  <c r="AU25" i="1"/>
  <c r="AT25" i="1"/>
  <c r="AS25" i="1"/>
  <c r="AR25" i="1"/>
  <c r="AQ25" i="1"/>
  <c r="AY25" i="1" s="1"/>
  <c r="AP25" i="1"/>
  <c r="AO25" i="1"/>
  <c r="AN25" i="1"/>
  <c r="AM25" i="1"/>
  <c r="AL25" i="1"/>
  <c r="AK25" i="1"/>
  <c r="AJ25" i="1"/>
  <c r="AI25" i="1"/>
  <c r="AV25" i="1" s="1"/>
  <c r="AU24" i="1"/>
  <c r="AT24" i="1"/>
  <c r="AS24" i="1"/>
  <c r="AR24" i="1"/>
  <c r="AQ24" i="1"/>
  <c r="AP24" i="1"/>
  <c r="AO24" i="1"/>
  <c r="AN24" i="1"/>
  <c r="AM24" i="1"/>
  <c r="AL24" i="1"/>
  <c r="AX24" i="1" s="1"/>
  <c r="AK24" i="1"/>
  <c r="AW24" i="1" s="1"/>
  <c r="AJ24" i="1"/>
  <c r="AI24" i="1"/>
  <c r="AV24" i="1" s="1"/>
  <c r="AU23" i="1"/>
  <c r="AT23" i="1"/>
  <c r="AS23" i="1"/>
  <c r="AR23" i="1"/>
  <c r="AQ23" i="1"/>
  <c r="AP23" i="1"/>
  <c r="AO23" i="1"/>
  <c r="AN23" i="1"/>
  <c r="AM23" i="1"/>
  <c r="AL23" i="1"/>
  <c r="AK23" i="1"/>
  <c r="AW23" i="1" s="1"/>
  <c r="AJ23" i="1"/>
  <c r="AI23" i="1"/>
  <c r="AV23" i="1" s="1"/>
  <c r="AU22" i="1"/>
  <c r="AT22" i="1"/>
  <c r="AZ22" i="1" s="1"/>
  <c r="AS22" i="1"/>
  <c r="AR22" i="1"/>
  <c r="AQ22" i="1"/>
  <c r="AY22" i="1" s="1"/>
  <c r="AP22" i="1"/>
  <c r="AO22" i="1"/>
  <c r="AN22" i="1"/>
  <c r="AM22" i="1"/>
  <c r="AL22" i="1"/>
  <c r="AK22" i="1"/>
  <c r="AW22" i="1" s="1"/>
  <c r="AJ22" i="1"/>
  <c r="AI22" i="1"/>
  <c r="AU21" i="1"/>
  <c r="AT21" i="1"/>
  <c r="AZ21" i="1" s="1"/>
  <c r="AS21" i="1"/>
  <c r="AR21" i="1"/>
  <c r="AQ21" i="1"/>
  <c r="AP21" i="1"/>
  <c r="AO21" i="1"/>
  <c r="AN21" i="1"/>
  <c r="AM21" i="1"/>
  <c r="AL21" i="1"/>
  <c r="AK21" i="1"/>
  <c r="AW21" i="1" s="1"/>
  <c r="AJ21" i="1"/>
  <c r="AI21" i="1"/>
  <c r="AV21" i="1" s="1"/>
  <c r="AU20" i="1"/>
  <c r="AT20" i="1"/>
  <c r="AZ20" i="1" s="1"/>
  <c r="AS20" i="1"/>
  <c r="AR20" i="1"/>
  <c r="AQ20" i="1"/>
  <c r="AP20" i="1"/>
  <c r="AO20" i="1"/>
  <c r="AN20" i="1"/>
  <c r="AM20" i="1"/>
  <c r="AL20" i="1"/>
  <c r="AK20" i="1"/>
  <c r="AW20" i="1" s="1"/>
  <c r="AJ20" i="1"/>
  <c r="AI20" i="1"/>
  <c r="AU19" i="1"/>
  <c r="AT19" i="1"/>
  <c r="AS19" i="1"/>
  <c r="AR19" i="1"/>
  <c r="AQ19" i="1"/>
  <c r="AY19" i="1" s="1"/>
  <c r="AP19" i="1"/>
  <c r="AO19" i="1"/>
  <c r="AN19" i="1"/>
  <c r="AM19" i="1"/>
  <c r="AL19" i="1"/>
  <c r="AX19" i="1" s="1"/>
  <c r="AK19" i="1"/>
  <c r="AW19" i="1" s="1"/>
  <c r="AJ19" i="1"/>
  <c r="AI19" i="1"/>
  <c r="AU18" i="1"/>
  <c r="AT18" i="1"/>
  <c r="AZ18" i="1" s="1"/>
  <c r="AS18" i="1"/>
  <c r="AR18" i="1"/>
  <c r="AQ18" i="1"/>
  <c r="AP18" i="1"/>
  <c r="AO18" i="1"/>
  <c r="AN18" i="1"/>
  <c r="AM18" i="1"/>
  <c r="AL18" i="1"/>
  <c r="AK18" i="1"/>
  <c r="AW18" i="1" s="1"/>
  <c r="AJ18" i="1"/>
  <c r="AI18" i="1"/>
  <c r="AU17" i="1"/>
  <c r="AT17" i="1"/>
  <c r="AS17" i="1"/>
  <c r="AR17" i="1"/>
  <c r="AQ17" i="1"/>
  <c r="AP17" i="1"/>
  <c r="AO17" i="1"/>
  <c r="AN17" i="1"/>
  <c r="AM17" i="1"/>
  <c r="AL17" i="1"/>
  <c r="AK17" i="1"/>
  <c r="AW17" i="1" s="1"/>
  <c r="AJ17" i="1"/>
  <c r="AI17" i="1"/>
  <c r="AU16" i="1"/>
  <c r="AT16" i="1"/>
  <c r="AS16" i="1"/>
  <c r="AR16" i="1"/>
  <c r="AQ16" i="1"/>
  <c r="AP16" i="1"/>
  <c r="AO16" i="1"/>
  <c r="AN16" i="1"/>
  <c r="AM16" i="1"/>
  <c r="AL16" i="1"/>
  <c r="AK16" i="1"/>
  <c r="AW16" i="1" s="1"/>
  <c r="AJ16" i="1"/>
  <c r="AI16" i="1"/>
  <c r="AU15" i="1"/>
  <c r="AT15" i="1"/>
  <c r="AZ15" i="1" s="1"/>
  <c r="AS15" i="1"/>
  <c r="AR15" i="1"/>
  <c r="AQ15" i="1"/>
  <c r="AY15" i="1" s="1"/>
  <c r="AP15" i="1"/>
  <c r="AO15" i="1"/>
  <c r="AN15" i="1"/>
  <c r="AM15" i="1"/>
  <c r="AL15" i="1"/>
  <c r="AK15" i="1"/>
  <c r="AW15" i="1" s="1"/>
  <c r="AJ15" i="1"/>
  <c r="AI15" i="1"/>
  <c r="AU14" i="1"/>
  <c r="AT14" i="1"/>
  <c r="AS14" i="1"/>
  <c r="AR14" i="1"/>
  <c r="AQ14" i="1"/>
  <c r="AP14" i="1"/>
  <c r="AO14" i="1"/>
  <c r="AN14" i="1"/>
  <c r="AM14" i="1"/>
  <c r="AL14" i="1"/>
  <c r="AX14" i="1" s="1"/>
  <c r="AK14" i="1"/>
  <c r="AW14" i="1" s="1"/>
  <c r="AJ14" i="1"/>
  <c r="AI14" i="1"/>
  <c r="AU13" i="1"/>
  <c r="AT13" i="1"/>
  <c r="AZ13" i="1" s="1"/>
  <c r="AS13" i="1"/>
  <c r="AR13" i="1"/>
  <c r="AQ13" i="1"/>
  <c r="AP13" i="1"/>
  <c r="AO13" i="1"/>
  <c r="AN13" i="1"/>
  <c r="AM13" i="1"/>
  <c r="AL13" i="1"/>
  <c r="AK13" i="1"/>
  <c r="AW13" i="1" s="1"/>
  <c r="AJ13" i="1"/>
  <c r="AI13" i="1"/>
  <c r="AU12" i="1"/>
  <c r="AT12" i="1"/>
  <c r="AZ12" i="1" s="1"/>
  <c r="AS12" i="1"/>
  <c r="AR12" i="1"/>
  <c r="AQ12" i="1"/>
  <c r="AP12" i="1"/>
  <c r="AO12" i="1"/>
  <c r="AN12" i="1"/>
  <c r="AM12" i="1"/>
  <c r="AL12" i="1"/>
  <c r="AK12" i="1"/>
  <c r="AW12" i="1" s="1"/>
  <c r="AJ12" i="1"/>
  <c r="AI12" i="1"/>
  <c r="AU11" i="1"/>
  <c r="AT11" i="1"/>
  <c r="AZ11" i="1" s="1"/>
  <c r="AS11" i="1"/>
  <c r="AR11" i="1"/>
  <c r="AQ11" i="1"/>
  <c r="AP11" i="1"/>
  <c r="AO11" i="1"/>
  <c r="AN11" i="1"/>
  <c r="AM11" i="1"/>
  <c r="AL11" i="1"/>
  <c r="AK11" i="1"/>
  <c r="AJ11" i="1"/>
  <c r="AI11" i="1"/>
  <c r="AV11" i="1" s="1"/>
  <c r="AU10" i="1"/>
  <c r="AT10" i="1"/>
  <c r="AZ10" i="1" s="1"/>
  <c r="AS10" i="1"/>
  <c r="AR10" i="1"/>
  <c r="AQ10" i="1"/>
  <c r="AP10" i="1"/>
  <c r="AO10" i="1"/>
  <c r="AN10" i="1"/>
  <c r="AM10" i="1"/>
  <c r="AL10" i="1"/>
  <c r="AK10" i="1"/>
  <c r="AW10" i="1" s="1"/>
  <c r="AJ10" i="1"/>
  <c r="AI10" i="1"/>
  <c r="AV10" i="1" s="1"/>
  <c r="AU9" i="1"/>
  <c r="AT9" i="1"/>
  <c r="AZ9" i="1" s="1"/>
  <c r="AS9" i="1"/>
  <c r="AR9" i="1"/>
  <c r="AQ9" i="1"/>
  <c r="AP9" i="1"/>
  <c r="AO9" i="1"/>
  <c r="AN9" i="1"/>
  <c r="AM9" i="1"/>
  <c r="AL9" i="1"/>
  <c r="AK9" i="1"/>
  <c r="AW9" i="1" s="1"/>
  <c r="AJ9" i="1"/>
  <c r="AI9" i="1"/>
  <c r="AV9" i="1" s="1"/>
  <c r="AU8" i="1"/>
  <c r="AT8" i="1"/>
  <c r="AS8" i="1"/>
  <c r="AR8" i="1"/>
  <c r="AQ8" i="1"/>
  <c r="AP8" i="1"/>
  <c r="AO8" i="1"/>
  <c r="AN8" i="1"/>
  <c r="AM8" i="1"/>
  <c r="AL8" i="1"/>
  <c r="AK8" i="1"/>
  <c r="AW8" i="1" s="1"/>
  <c r="AJ8" i="1"/>
  <c r="AI8" i="1"/>
  <c r="AU7" i="1"/>
  <c r="AT7" i="1"/>
  <c r="AS7" i="1"/>
  <c r="AR7" i="1"/>
  <c r="AQ7" i="1"/>
  <c r="AP7" i="1"/>
  <c r="AO7" i="1"/>
  <c r="AN7" i="1"/>
  <c r="AM7" i="1"/>
  <c r="AL7" i="1"/>
  <c r="AK7" i="1"/>
  <c r="AW7" i="1" s="1"/>
  <c r="AJ7" i="1"/>
  <c r="AI7" i="1"/>
  <c r="AV7" i="1" s="1"/>
  <c r="AU6" i="1"/>
  <c r="AT6" i="1"/>
  <c r="AS6" i="1"/>
  <c r="AR6" i="1"/>
  <c r="AQ6" i="1"/>
  <c r="AP6" i="1"/>
  <c r="AO6" i="1"/>
  <c r="AN6" i="1"/>
  <c r="AM6" i="1"/>
  <c r="AL6" i="1"/>
  <c r="AK6" i="1"/>
  <c r="AW6" i="1" s="1"/>
  <c r="AJ6" i="1"/>
  <c r="AI6" i="1"/>
  <c r="AU5" i="1"/>
  <c r="AT5" i="1"/>
  <c r="AS5" i="1"/>
  <c r="AR5" i="1"/>
  <c r="AQ5" i="1"/>
  <c r="AY5" i="1" s="1"/>
  <c r="AP5" i="1"/>
  <c r="AO5" i="1"/>
  <c r="AN5" i="1"/>
  <c r="AM5" i="1"/>
  <c r="AL5" i="1"/>
  <c r="AK5" i="1"/>
  <c r="AW5" i="1" s="1"/>
  <c r="AJ5" i="1"/>
  <c r="AI5" i="1"/>
  <c r="AU4" i="1"/>
  <c r="AT4" i="1"/>
  <c r="AS4" i="1"/>
  <c r="AR4" i="1"/>
  <c r="AQ4" i="1"/>
  <c r="AP4" i="1"/>
  <c r="AO4" i="1"/>
  <c r="AN4" i="1"/>
  <c r="AM4" i="1"/>
  <c r="AL4" i="1"/>
  <c r="AX4" i="1" s="1"/>
  <c r="AK4" i="1"/>
  <c r="AW4" i="1" s="1"/>
  <c r="AJ4" i="1"/>
  <c r="AI4" i="1"/>
  <c r="AV4" i="1" s="1"/>
  <c r="AU3" i="1"/>
  <c r="AT3" i="1"/>
  <c r="AS3" i="1"/>
  <c r="AR3" i="1"/>
  <c r="AQ3" i="1"/>
  <c r="AY3" i="1" s="1"/>
  <c r="AP3" i="1"/>
  <c r="AO3" i="1"/>
  <c r="AN3" i="1"/>
  <c r="AM3" i="1"/>
  <c r="AL3" i="1"/>
  <c r="AK3" i="1"/>
  <c r="AW3" i="1" s="1"/>
  <c r="AJ3" i="1"/>
  <c r="AI3" i="1"/>
  <c r="AV3" i="1" s="1"/>
  <c r="AU2" i="1"/>
  <c r="AT2" i="1"/>
  <c r="AS2" i="1"/>
  <c r="AQ2" i="1"/>
  <c r="AR2" i="1"/>
  <c r="AP2" i="1"/>
  <c r="AO2" i="1"/>
  <c r="AN2" i="1"/>
  <c r="AM2" i="1"/>
  <c r="AL2" i="1"/>
  <c r="AX2" i="1" s="1"/>
  <c r="AK2" i="1"/>
  <c r="AW2" i="1" s="1"/>
  <c r="AJ2" i="1"/>
  <c r="AI2" i="1"/>
  <c r="AV2" i="1" s="1"/>
  <c r="B22" i="4"/>
  <c r="AY17" i="1" l="1"/>
  <c r="AX36" i="1"/>
  <c r="AY39" i="1"/>
  <c r="AX58" i="1"/>
  <c r="AY61" i="1"/>
  <c r="AX80" i="1"/>
  <c r="AY83" i="1"/>
  <c r="AX102" i="1"/>
  <c r="AY105" i="1"/>
  <c r="AX124" i="1"/>
  <c r="AZ5" i="1"/>
  <c r="AX9" i="1"/>
  <c r="AY12" i="1"/>
  <c r="AV16" i="1"/>
  <c r="AZ27" i="1"/>
  <c r="AX31" i="1"/>
  <c r="AY34" i="1"/>
  <c r="AV38" i="1"/>
  <c r="AZ49" i="1"/>
  <c r="AX53" i="1"/>
  <c r="AY56" i="1"/>
  <c r="AV60" i="1"/>
  <c r="AZ71" i="1"/>
  <c r="AX75" i="1"/>
  <c r="AY78" i="1"/>
  <c r="AV82" i="1"/>
  <c r="AZ93" i="1"/>
  <c r="AX97" i="1"/>
  <c r="AY100" i="1"/>
  <c r="AV104" i="1"/>
  <c r="AX119" i="1"/>
  <c r="AY122" i="1"/>
  <c r="AV126" i="1"/>
  <c r="AV6" i="1"/>
  <c r="AV28" i="1"/>
  <c r="AY46" i="1"/>
  <c r="AG46" i="1" s="1"/>
  <c r="AV116" i="1"/>
  <c r="AX38" i="1"/>
  <c r="AX60" i="1"/>
  <c r="AX16" i="1"/>
  <c r="AY14" i="1"/>
  <c r="AV18" i="1"/>
  <c r="AZ29" i="1"/>
  <c r="AX33" i="1"/>
  <c r="AG33" i="1" s="1"/>
  <c r="AY36" i="1"/>
  <c r="AV40" i="1"/>
  <c r="AZ51" i="1"/>
  <c r="AY58" i="1"/>
  <c r="AV62" i="1"/>
  <c r="AZ73" i="1"/>
  <c r="AY80" i="1"/>
  <c r="AV84" i="1"/>
  <c r="AV106" i="1"/>
  <c r="AZ117" i="1"/>
  <c r="AV8" i="1"/>
  <c r="AZ19" i="1"/>
  <c r="AV30" i="1"/>
  <c r="AZ41" i="1"/>
  <c r="AV52" i="1"/>
  <c r="AZ6" i="1"/>
  <c r="AX25" i="1"/>
  <c r="AG25" i="1" s="1"/>
  <c r="AX101" i="1"/>
  <c r="AX123" i="1"/>
  <c r="AZ4" i="1"/>
  <c r="AZ26" i="1"/>
  <c r="AY33" i="1"/>
  <c r="AZ48" i="1"/>
  <c r="AY55" i="1"/>
  <c r="AV59" i="1"/>
  <c r="AZ70" i="1"/>
  <c r="AY77" i="1"/>
  <c r="AZ92" i="1"/>
  <c r="AY99" i="1"/>
  <c r="AV103" i="1"/>
  <c r="AZ114" i="1"/>
  <c r="AX13" i="1"/>
  <c r="AY6" i="1"/>
  <c r="AY28" i="1"/>
  <c r="AX47" i="1"/>
  <c r="AY50" i="1"/>
  <c r="AY72" i="1"/>
  <c r="AY94" i="1"/>
  <c r="AX113" i="1"/>
  <c r="AY116" i="1"/>
  <c r="AV120" i="1"/>
  <c r="AV5" i="1"/>
  <c r="AZ16" i="1"/>
  <c r="AV27" i="1"/>
  <c r="AZ38" i="1"/>
  <c r="AV49" i="1"/>
  <c r="AZ60" i="1"/>
  <c r="AV71" i="1"/>
  <c r="AZ82" i="1"/>
  <c r="AV93" i="1"/>
  <c r="AZ104" i="1"/>
  <c r="AV115" i="1"/>
  <c r="AZ126" i="1"/>
  <c r="AZ23" i="1"/>
  <c r="AZ45" i="1"/>
  <c r="AZ17" i="1"/>
  <c r="AX21" i="1"/>
  <c r="AY24" i="1"/>
  <c r="AZ39" i="1"/>
  <c r="AX43" i="1"/>
  <c r="AV50" i="1"/>
  <c r="AZ61" i="1"/>
  <c r="AX65" i="1"/>
  <c r="AY68" i="1"/>
  <c r="AV72" i="1"/>
  <c r="AZ83" i="1"/>
  <c r="AX87" i="1"/>
  <c r="AY90" i="1"/>
  <c r="AV94" i="1"/>
  <c r="AZ105" i="1"/>
  <c r="AX109" i="1"/>
  <c r="AY112" i="1"/>
  <c r="AV12" i="1"/>
  <c r="AX32" i="1"/>
  <c r="AV56" i="1"/>
  <c r="AV78" i="1"/>
  <c r="AX10" i="1"/>
  <c r="AY37" i="1"/>
  <c r="AX55" i="1"/>
  <c r="AX77" i="1"/>
  <c r="AG77" i="1" s="1"/>
  <c r="AX121" i="1"/>
  <c r="AG121" i="1" s="1"/>
  <c r="AX20" i="1"/>
  <c r="AV122" i="1"/>
  <c r="AZ2" i="1"/>
  <c r="AX6" i="1"/>
  <c r="AG6" i="1" s="1"/>
  <c r="AV13" i="1"/>
  <c r="AG13" i="1" s="1"/>
  <c r="AZ24" i="1"/>
  <c r="AX28" i="1"/>
  <c r="AG28" i="1" s="1"/>
  <c r="AV35" i="1"/>
  <c r="AX50" i="1"/>
  <c r="AV57" i="1"/>
  <c r="AX72" i="1"/>
  <c r="AV79" i="1"/>
  <c r="AZ90" i="1"/>
  <c r="AX94" i="1"/>
  <c r="AV101" i="1"/>
  <c r="AZ112" i="1"/>
  <c r="AX116" i="1"/>
  <c r="AZ63" i="1"/>
  <c r="AV74" i="1"/>
  <c r="AZ85" i="1"/>
  <c r="AV96" i="1"/>
  <c r="AZ107" i="1"/>
  <c r="AV118" i="1"/>
  <c r="AZ67" i="1"/>
  <c r="AG67" i="1" s="1"/>
  <c r="AZ111" i="1"/>
  <c r="AZ14" i="1"/>
  <c r="AY16" i="1"/>
  <c r="AV20" i="1"/>
  <c r="AZ31" i="1"/>
  <c r="AX35" i="1"/>
  <c r="AZ36" i="1"/>
  <c r="AY38" i="1"/>
  <c r="AV42" i="1"/>
  <c r="AG42" i="1" s="1"/>
  <c r="AZ53" i="1"/>
  <c r="AX57" i="1"/>
  <c r="AV69" i="1"/>
  <c r="AZ75" i="1"/>
  <c r="AX79" i="1"/>
  <c r="AY82" i="1"/>
  <c r="AG82" i="1" s="1"/>
  <c r="AZ102" i="1"/>
  <c r="AY121" i="1"/>
  <c r="AV125" i="1"/>
  <c r="AX42" i="1"/>
  <c r="AV100" i="1"/>
  <c r="AG11" i="1"/>
  <c r="AY2" i="1"/>
  <c r="AX69" i="1"/>
  <c r="AX91" i="1"/>
  <c r="AX120" i="1"/>
  <c r="AY81" i="1"/>
  <c r="AG16" i="1"/>
  <c r="AY45" i="1"/>
  <c r="AY67" i="1"/>
  <c r="AY89" i="1"/>
  <c r="AY111" i="1"/>
  <c r="AY23" i="1"/>
  <c r="AY18" i="1"/>
  <c r="AV22" i="1"/>
  <c r="AZ55" i="1"/>
  <c r="AZ77" i="1"/>
  <c r="AV110" i="1"/>
  <c r="AV34" i="1"/>
  <c r="AZ89" i="1"/>
  <c r="AV17" i="1"/>
  <c r="AV39" i="1"/>
  <c r="AZ50" i="1"/>
  <c r="AV61" i="1"/>
  <c r="AZ72" i="1"/>
  <c r="AV83" i="1"/>
  <c r="AZ94" i="1"/>
  <c r="AV105" i="1"/>
  <c r="AG105" i="1" s="1"/>
  <c r="AG55" i="1"/>
  <c r="AG99" i="1"/>
  <c r="AZ115" i="1"/>
  <c r="AY9" i="1"/>
  <c r="AX23" i="1"/>
  <c r="AY26" i="1"/>
  <c r="AX45" i="1"/>
  <c r="AY48" i="1"/>
  <c r="AG48" i="1" s="1"/>
  <c r="AY53" i="1"/>
  <c r="AX67" i="1"/>
  <c r="AY70" i="1"/>
  <c r="AY75" i="1"/>
  <c r="AX89" i="1"/>
  <c r="AY92" i="1"/>
  <c r="AY97" i="1"/>
  <c r="AG97" i="1" s="1"/>
  <c r="AY102" i="1"/>
  <c r="AX111" i="1"/>
  <c r="AY114" i="1"/>
  <c r="AY119" i="1"/>
  <c r="AG119" i="1" s="1"/>
  <c r="AY124" i="1"/>
  <c r="AG75" i="1"/>
  <c r="AY4" i="1"/>
  <c r="AG4" i="1" s="1"/>
  <c r="AY31" i="1"/>
  <c r="AX18" i="1"/>
  <c r="AY21" i="1"/>
  <c r="AX40" i="1"/>
  <c r="AY43" i="1"/>
  <c r="AX62" i="1"/>
  <c r="AY65" i="1"/>
  <c r="AX84" i="1"/>
  <c r="AY87" i="1"/>
  <c r="AX106" i="1"/>
  <c r="AY109" i="1"/>
  <c r="AV15" i="1"/>
  <c r="AX30" i="1"/>
  <c r="AX52" i="1"/>
  <c r="AX74" i="1"/>
  <c r="AX96" i="1"/>
  <c r="AX118" i="1"/>
  <c r="AX8" i="1"/>
  <c r="AX15" i="1"/>
  <c r="AX37" i="1"/>
  <c r="AY40" i="1"/>
  <c r="AV44" i="1"/>
  <c r="AG44" i="1" s="1"/>
  <c r="AX59" i="1"/>
  <c r="AG59" i="1" s="1"/>
  <c r="AY62" i="1"/>
  <c r="AV66" i="1"/>
  <c r="AX81" i="1"/>
  <c r="AY84" i="1"/>
  <c r="AV88" i="1"/>
  <c r="AX103" i="1"/>
  <c r="AY106" i="1"/>
  <c r="AX125" i="1"/>
  <c r="AZ125" i="1"/>
  <c r="AV37" i="1"/>
  <c r="AY13" i="1"/>
  <c r="AY35" i="1"/>
  <c r="AY57" i="1"/>
  <c r="AY79" i="1"/>
  <c r="AY101" i="1"/>
  <c r="AY123" i="1"/>
  <c r="AX3" i="1"/>
  <c r="AX5" i="1"/>
  <c r="AY8" i="1"/>
  <c r="AX27" i="1"/>
  <c r="AY30" i="1"/>
  <c r="AX49" i="1"/>
  <c r="AG49" i="1" s="1"/>
  <c r="AY52" i="1"/>
  <c r="AX71" i="1"/>
  <c r="AY74" i="1"/>
  <c r="AX93" i="1"/>
  <c r="AY96" i="1"/>
  <c r="AX115" i="1"/>
  <c r="AY118" i="1"/>
  <c r="AX22" i="1"/>
  <c r="AZ40" i="1"/>
  <c r="AX44" i="1"/>
  <c r="AY47" i="1"/>
  <c r="AV51" i="1"/>
  <c r="AX54" i="1"/>
  <c r="AZ62" i="1"/>
  <c r="AX64" i="1"/>
  <c r="AG64" i="1" s="1"/>
  <c r="AX66" i="1"/>
  <c r="AY69" i="1"/>
  <c r="AV73" i="1"/>
  <c r="AX76" i="1"/>
  <c r="AZ84" i="1"/>
  <c r="AX86" i="1"/>
  <c r="AG86" i="1" s="1"/>
  <c r="AX88" i="1"/>
  <c r="AY91" i="1"/>
  <c r="AV95" i="1"/>
  <c r="AX98" i="1"/>
  <c r="AX108" i="1"/>
  <c r="AX110" i="1"/>
  <c r="AX39" i="1"/>
  <c r="AX61" i="1"/>
  <c r="AX83" i="1"/>
  <c r="AX105" i="1"/>
  <c r="AX17" i="1"/>
  <c r="AY20" i="1"/>
  <c r="AZ8" i="1"/>
  <c r="AX12" i="1"/>
  <c r="AV19" i="1"/>
  <c r="AG19" i="1" s="1"/>
  <c r="AZ30" i="1"/>
  <c r="AX34" i="1"/>
  <c r="AG34" i="1" s="1"/>
  <c r="AV41" i="1"/>
  <c r="AG41" i="1" s="1"/>
  <c r="AZ52" i="1"/>
  <c r="AX56" i="1"/>
  <c r="AV63" i="1"/>
  <c r="AG63" i="1" s="1"/>
  <c r="AZ74" i="1"/>
  <c r="AX78" i="1"/>
  <c r="AV85" i="1"/>
  <c r="AZ96" i="1"/>
  <c r="AX100" i="1"/>
  <c r="AV107" i="1"/>
  <c r="AZ118" i="1"/>
  <c r="AX122" i="1"/>
  <c r="AZ3" i="1"/>
  <c r="AX7" i="1"/>
  <c r="AG7" i="1" s="1"/>
  <c r="AY10" i="1"/>
  <c r="AV14" i="1"/>
  <c r="AZ25" i="1"/>
  <c r="AX29" i="1"/>
  <c r="AY32" i="1"/>
  <c r="AV36" i="1"/>
  <c r="AZ47" i="1"/>
  <c r="AX51" i="1"/>
  <c r="AY54" i="1"/>
  <c r="AG54" i="1" s="1"/>
  <c r="AV58" i="1"/>
  <c r="AZ69" i="1"/>
  <c r="AX73" i="1"/>
  <c r="AY76" i="1"/>
  <c r="AV80" i="1"/>
  <c r="AZ91" i="1"/>
  <c r="AX95" i="1"/>
  <c r="AY98" i="1"/>
  <c r="AV102" i="1"/>
  <c r="AZ113" i="1"/>
  <c r="AX117" i="1"/>
  <c r="AY120" i="1"/>
  <c r="AV124" i="1"/>
  <c r="AG126" i="1"/>
  <c r="AG29" i="1" l="1"/>
  <c r="AG14" i="1"/>
  <c r="AG47" i="1"/>
  <c r="AG104" i="1"/>
  <c r="AG27" i="1"/>
  <c r="AG5" i="1"/>
  <c r="AG117" i="1"/>
  <c r="AG123" i="1"/>
  <c r="AG116" i="1"/>
  <c r="AG18" i="1"/>
  <c r="AG112" i="1"/>
  <c r="AG24" i="1"/>
  <c r="AG39" i="1"/>
  <c r="AG110" i="1"/>
  <c r="AG23" i="1"/>
  <c r="AG31" i="1"/>
  <c r="AG2" i="1"/>
  <c r="AG26" i="1"/>
  <c r="AG98" i="1"/>
  <c r="AG74" i="1"/>
  <c r="AG43" i="1"/>
  <c r="AG89" i="1"/>
  <c r="AG38" i="1"/>
  <c r="AG56" i="1"/>
  <c r="AG122" i="1"/>
  <c r="AG113" i="1"/>
  <c r="AG70" i="1"/>
  <c r="AG58" i="1"/>
  <c r="AG40" i="1"/>
  <c r="AG9" i="1"/>
  <c r="AG50" i="1"/>
  <c r="AG90" i="1"/>
  <c r="AG103" i="1"/>
  <c r="AG60" i="1"/>
  <c r="AG84" i="1"/>
  <c r="AG91" i="1"/>
  <c r="AG52" i="1"/>
  <c r="AG21" i="1"/>
  <c r="AG109" i="1"/>
  <c r="AG76" i="1"/>
  <c r="AG72" i="1"/>
  <c r="AG81" i="1"/>
  <c r="AG66" i="1"/>
  <c r="AG20" i="1"/>
  <c r="AG22" i="1"/>
  <c r="AG61" i="1"/>
  <c r="AG101" i="1"/>
  <c r="AG115" i="1"/>
  <c r="AG57" i="1"/>
  <c r="AG62" i="1"/>
  <c r="AG32" i="1"/>
  <c r="AG3" i="1"/>
  <c r="AG51" i="1"/>
  <c r="AG120" i="1"/>
  <c r="AG87" i="1"/>
  <c r="AG73" i="1"/>
  <c r="AG15" i="1"/>
  <c r="AG8" i="1"/>
  <c r="AG96" i="1"/>
  <c r="AG30" i="1"/>
  <c r="AG111" i="1"/>
  <c r="AG106" i="1"/>
  <c r="AG10" i="1"/>
  <c r="AG92" i="1"/>
  <c r="AG12" i="1"/>
  <c r="AG69" i="1"/>
  <c r="AG100" i="1"/>
  <c r="AG78" i="1"/>
  <c r="AG124" i="1"/>
  <c r="AG79" i="1"/>
  <c r="AG102" i="1"/>
  <c r="AG93" i="1"/>
  <c r="AG85" i="1"/>
  <c r="AG108" i="1"/>
  <c r="AG88" i="1"/>
  <c r="AG114" i="1"/>
  <c r="AG65" i="1"/>
  <c r="AG80" i="1"/>
  <c r="AG37" i="1"/>
  <c r="AG118" i="1"/>
  <c r="AG107" i="1"/>
  <c r="AG83" i="1"/>
  <c r="AG17" i="1"/>
  <c r="AG35" i="1"/>
  <c r="AG95" i="1"/>
  <c r="AG45" i="1"/>
  <c r="AG125" i="1"/>
  <c r="AG71" i="1"/>
  <c r="AG68" i="1"/>
  <c r="AG53" i="1"/>
  <c r="AG36" i="1"/>
  <c r="AG94" i="1"/>
</calcChain>
</file>

<file path=xl/sharedStrings.xml><?xml version="1.0" encoding="utf-8"?>
<sst xmlns="http://schemas.openxmlformats.org/spreadsheetml/2006/main" count="723" uniqueCount="509">
  <si>
    <t>ranking</t>
  </si>
  <si>
    <t>cve_mun</t>
  </si>
  <si>
    <t>municipio</t>
  </si>
  <si>
    <t>pob_2024</t>
  </si>
  <si>
    <t>indice_priorizacion</t>
  </si>
  <si>
    <t>d1_carga</t>
  </si>
  <si>
    <t>d2_prematuridad</t>
  </si>
  <si>
    <t>d3_vulnerabilidad</t>
  </si>
  <si>
    <t>d4_acceso</t>
  </si>
  <si>
    <t>d5_trazador</t>
  </si>
  <si>
    <t>dm2_cualquier</t>
  </si>
  <si>
    <t>dm2_basica</t>
  </si>
  <si>
    <t>tasa_anual_dm2</t>
  </si>
  <si>
    <t>tasa_dm2_basica</t>
  </si>
  <si>
    <t>pct_dm2_contribuyente</t>
  </si>
  <si>
    <t>con_erc</t>
  </si>
  <si>
    <t>razon_erc_dm2</t>
  </si>
  <si>
    <t>con_hta</t>
  </si>
  <si>
    <t>con_obesidad</t>
  </si>
  <si>
    <t>avpp_total</t>
  </si>
  <si>
    <t>avpp_prom</t>
  </si>
  <si>
    <t>n_inegi</t>
  </si>
  <si>
    <t>edad_prom</t>
  </si>
  <si>
    <t>pct_mujer</t>
  </si>
  <si>
    <t>pct_sin_escol</t>
  </si>
  <si>
    <t>pct_sin_derecho</t>
  </si>
  <si>
    <t>pct_muere_hogar</t>
  </si>
  <si>
    <t>distancia_gdl_km</t>
  </si>
  <si>
    <t>total_atencion</t>
  </si>
  <si>
    <t>primer_nivel</t>
  </si>
  <si>
    <t>segundo_nivel</t>
  </si>
  <si>
    <t>tercer_nivel</t>
  </si>
  <si>
    <t>unidades_x100k</t>
  </si>
  <si>
    <t>enigh_cobertura</t>
  </si>
  <si>
    <t>enigh_hogares</t>
  </si>
  <si>
    <t>enigh_ingreso</t>
  </si>
  <si>
    <t>enigh_vulnerabilidad</t>
  </si>
  <si>
    <t>enigh_internet</t>
  </si>
  <si>
    <t>enigh_gasto_salud</t>
  </si>
  <si>
    <t>14092</t>
  </si>
  <si>
    <t>Teocuitatlán de Corona</t>
  </si>
  <si>
    <t>✓ datos directos</t>
  </si>
  <si>
    <t>14060</t>
  </si>
  <si>
    <t>Mexticacán</t>
  </si>
  <si>
    <t>14049</t>
  </si>
  <si>
    <t>Jilotlán de los Dolores</t>
  </si>
  <si>
    <t>14019</t>
  </si>
  <si>
    <t>Bolaños</t>
  </si>
  <si>
    <t>~ estimación estatal</t>
  </si>
  <si>
    <t>14017</t>
  </si>
  <si>
    <t>Ayutla</t>
  </si>
  <si>
    <t>14026</t>
  </si>
  <si>
    <t>Concepción de Buenos Aires</t>
  </si>
  <si>
    <t>14048</t>
  </si>
  <si>
    <t>Jesús María</t>
  </si>
  <si>
    <t>14115</t>
  </si>
  <si>
    <t>Villa Guerrero</t>
  </si>
  <si>
    <t>14102</t>
  </si>
  <si>
    <t>Tonaya</t>
  </si>
  <si>
    <t>14104</t>
  </si>
  <si>
    <t>Totatiche</t>
  </si>
  <si>
    <t>14087</t>
  </si>
  <si>
    <t>Tecalitlán</t>
  </si>
  <si>
    <t>14103</t>
  </si>
  <si>
    <t>Tonila</t>
  </si>
  <si>
    <t>14089</t>
  </si>
  <si>
    <t>Techaluta de Montenegro</t>
  </si>
  <si>
    <t>14014</t>
  </si>
  <si>
    <t>Atoyac</t>
  </si>
  <si>
    <t>14011</t>
  </si>
  <si>
    <t>Atengo</t>
  </si>
  <si>
    <t>14021</t>
  </si>
  <si>
    <t>Casimiro Castillo</t>
  </si>
  <si>
    <t>14041</t>
  </si>
  <si>
    <t>Huejúcar</t>
  </si>
  <si>
    <t>14057</t>
  </si>
  <si>
    <t>La Manzanilla de la Paz</t>
  </si>
  <si>
    <t>14054</t>
  </si>
  <si>
    <t>El Limón</t>
  </si>
  <si>
    <t>14113</t>
  </si>
  <si>
    <t>San Gabriel</t>
  </si>
  <si>
    <t>14099</t>
  </si>
  <si>
    <t>Tolimán</t>
  </si>
  <si>
    <t>14074</t>
  </si>
  <si>
    <t>San Julián</t>
  </si>
  <si>
    <t>14038</t>
  </si>
  <si>
    <t>Guachinango</t>
  </si>
  <si>
    <t>14107</t>
  </si>
  <si>
    <t>Tuxcueca</t>
  </si>
  <si>
    <t>14081</t>
  </si>
  <si>
    <t>Santa María de los Ángeles</t>
  </si>
  <si>
    <t>14004</t>
  </si>
  <si>
    <t>Amacueca</t>
  </si>
  <si>
    <t>14090</t>
  </si>
  <si>
    <t>Tenamaxtlán</t>
  </si>
  <si>
    <t>14027</t>
  </si>
  <si>
    <t>Cuautitlán de García Barragán</t>
  </si>
  <si>
    <t>14039</t>
  </si>
  <si>
    <t>Guadalajara</t>
  </si>
  <si>
    <t>14020</t>
  </si>
  <si>
    <t>Cabo Corrientes</t>
  </si>
  <si>
    <t>14022</t>
  </si>
  <si>
    <t>Cihuatlán</t>
  </si>
  <si>
    <t>14122</t>
  </si>
  <si>
    <t>Zapotitlán de Vadillo</t>
  </si>
  <si>
    <t>14012</t>
  </si>
  <si>
    <t>Atenguillo</t>
  </si>
  <si>
    <t>14062</t>
  </si>
  <si>
    <t>Mixtlán</t>
  </si>
  <si>
    <t>14110</t>
  </si>
  <si>
    <t>Unión de Tula</t>
  </si>
  <si>
    <t>14065</t>
  </si>
  <si>
    <t>Pihuamo</t>
  </si>
  <si>
    <t>14010</t>
  </si>
  <si>
    <t>Atemajac de Brizuela</t>
  </si>
  <si>
    <t>14035</t>
  </si>
  <si>
    <t>Encarnación de Díaz</t>
  </si>
  <si>
    <t>14040</t>
  </si>
  <si>
    <t>Hostotipaquillo</t>
  </si>
  <si>
    <t>14079</t>
  </si>
  <si>
    <t>Gómez Farías</t>
  </si>
  <si>
    <t>14080</t>
  </si>
  <si>
    <t>San Sebastián del Oeste</t>
  </si>
  <si>
    <t>14106</t>
  </si>
  <si>
    <t>Tuxcacuesco</t>
  </si>
  <si>
    <t>14112</t>
  </si>
  <si>
    <t>Valle de Juárez</t>
  </si>
  <si>
    <t>14109</t>
  </si>
  <si>
    <t>Unión de San Antonio</t>
  </si>
  <si>
    <t>14068</t>
  </si>
  <si>
    <t>Villa Purificación</t>
  </si>
  <si>
    <t>14069</t>
  </si>
  <si>
    <t>Quitupan</t>
  </si>
  <si>
    <t>14100</t>
  </si>
  <si>
    <t>Tomatlán</t>
  </si>
  <si>
    <t>14052</t>
  </si>
  <si>
    <t>Juchitlán</t>
  </si>
  <si>
    <t>14007</t>
  </si>
  <si>
    <t>San Juanito de Escobedo</t>
  </si>
  <si>
    <t>14091</t>
  </si>
  <si>
    <t>Teocaltiche</t>
  </si>
  <si>
    <t>14084</t>
  </si>
  <si>
    <t>Talpa de Allende</t>
  </si>
  <si>
    <t>14067</t>
  </si>
  <si>
    <t>Puerto Vallarta</t>
  </si>
  <si>
    <t>14059</t>
  </si>
  <si>
    <t>Mazamitla</t>
  </si>
  <si>
    <t>14117</t>
  </si>
  <si>
    <t>Cañadas de Obregón</t>
  </si>
  <si>
    <t>14116</t>
  </si>
  <si>
    <t>Villa Hidalgo</t>
  </si>
  <si>
    <t>14015</t>
  </si>
  <si>
    <t>Autlán de Navarro</t>
  </si>
  <si>
    <t>14085</t>
  </si>
  <si>
    <t>Tamazula de Gordiano</t>
  </si>
  <si>
    <t>14005</t>
  </si>
  <si>
    <t>Amatitán</t>
  </si>
  <si>
    <t>14064</t>
  </si>
  <si>
    <t>Ojuelos de Jalisco</t>
  </si>
  <si>
    <t>14072</t>
  </si>
  <si>
    <t>San Diego de Alejandría</t>
  </si>
  <si>
    <t>14042</t>
  </si>
  <si>
    <t>Huejuquilla El Alto</t>
  </si>
  <si>
    <t>14032</t>
  </si>
  <si>
    <t>Chiquilistlán</t>
  </si>
  <si>
    <t>14111</t>
  </si>
  <si>
    <t>Valle de Guadalupe</t>
  </si>
  <si>
    <t>14075</t>
  </si>
  <si>
    <t>San Marcos</t>
  </si>
  <si>
    <t>14082</t>
  </si>
  <si>
    <t>Sayula</t>
  </si>
  <si>
    <t>14043</t>
  </si>
  <si>
    <t>La Huerta</t>
  </si>
  <si>
    <t>14047</t>
  </si>
  <si>
    <t>Jamay</t>
  </si>
  <si>
    <t>14088</t>
  </si>
  <si>
    <t>Tecolotlán</t>
  </si>
  <si>
    <t>14009</t>
  </si>
  <si>
    <t>El Arenal</t>
  </si>
  <si>
    <t>14086</t>
  </si>
  <si>
    <t>Tapalpa</t>
  </si>
  <si>
    <t>14077</t>
  </si>
  <si>
    <t>San Martín Hidalgo</t>
  </si>
  <si>
    <t>14016</t>
  </si>
  <si>
    <t>Ayotlán</t>
  </si>
  <si>
    <t>14058</t>
  </si>
  <si>
    <t>Mascota</t>
  </si>
  <si>
    <t>14053</t>
  </si>
  <si>
    <t>Lagos de Moreno</t>
  </si>
  <si>
    <t>14006</t>
  </si>
  <si>
    <t>Ameca</t>
  </si>
  <si>
    <t>14023</t>
  </si>
  <si>
    <t>Zapotlán El Grande</t>
  </si>
  <si>
    <t>14055</t>
  </si>
  <si>
    <t>Magdalena</t>
  </si>
  <si>
    <t>14119</t>
  </si>
  <si>
    <t>Zacoalco de Torres</t>
  </si>
  <si>
    <t>14001</t>
  </si>
  <si>
    <t>Acatic</t>
  </si>
  <si>
    <t>14078</t>
  </si>
  <si>
    <t>San Miguel El Alto</t>
  </si>
  <si>
    <t>14066</t>
  </si>
  <si>
    <t>Poncitlán</t>
  </si>
  <si>
    <t>14018</t>
  </si>
  <si>
    <t>La Barca</t>
  </si>
  <si>
    <t>14121</t>
  </si>
  <si>
    <t>Zapotiltic</t>
  </si>
  <si>
    <t>14036</t>
  </si>
  <si>
    <t>Etzatlán</t>
  </si>
  <si>
    <t>14125</t>
  </si>
  <si>
    <t>San Ignacio Cerro Gordo</t>
  </si>
  <si>
    <t>14002</t>
  </si>
  <si>
    <t>Acatlán de Juárez</t>
  </si>
  <si>
    <t>14095</t>
  </si>
  <si>
    <t>Teuchitlán</t>
  </si>
  <si>
    <t>14029</t>
  </si>
  <si>
    <t>Cuquío</t>
  </si>
  <si>
    <t>14114</t>
  </si>
  <si>
    <t>Villa Corona</t>
  </si>
  <si>
    <t>14073</t>
  </si>
  <si>
    <t>San Juan de los Lagos</t>
  </si>
  <si>
    <t>14096</t>
  </si>
  <si>
    <t>Tizapán El Alto</t>
  </si>
  <si>
    <t>14123</t>
  </si>
  <si>
    <t>Zapotlán del Rey</t>
  </si>
  <si>
    <t>14118</t>
  </si>
  <si>
    <t>Yahualica de González Gallo</t>
  </si>
  <si>
    <t>14033</t>
  </si>
  <si>
    <t>Degollado</t>
  </si>
  <si>
    <t>14024</t>
  </si>
  <si>
    <t>Cocula</t>
  </si>
  <si>
    <t>14108</t>
  </si>
  <si>
    <t>Tuxpan</t>
  </si>
  <si>
    <t>14061</t>
  </si>
  <si>
    <t>Mezquitic</t>
  </si>
  <si>
    <t>14124</t>
  </si>
  <si>
    <t>Zapotlanejo</t>
  </si>
  <si>
    <t>14083</t>
  </si>
  <si>
    <t>Tala</t>
  </si>
  <si>
    <t>14046</t>
  </si>
  <si>
    <t>Jalostotitlán</t>
  </si>
  <si>
    <t>14044</t>
  </si>
  <si>
    <t>Ixtlahuacán de los Membrillos</t>
  </si>
  <si>
    <t>14037</t>
  </si>
  <si>
    <t>El Grullo</t>
  </si>
  <si>
    <t>14093</t>
  </si>
  <si>
    <t>Tepatitlán de Morelos</t>
  </si>
  <si>
    <t>14008</t>
  </si>
  <si>
    <t>Arandas</t>
  </si>
  <si>
    <t>14063</t>
  </si>
  <si>
    <t>Ocotlán</t>
  </si>
  <si>
    <t>14045</t>
  </si>
  <si>
    <t>Ixtlahuacán del Río</t>
  </si>
  <si>
    <t>14051</t>
  </si>
  <si>
    <t>Juanacatlán</t>
  </si>
  <si>
    <t>14025</t>
  </si>
  <si>
    <t>Colotlán</t>
  </si>
  <si>
    <t>14013</t>
  </si>
  <si>
    <t>Atotonilco El Alto</t>
  </si>
  <si>
    <t>14105</t>
  </si>
  <si>
    <t>Tototlán</t>
  </si>
  <si>
    <t>14050</t>
  </si>
  <si>
    <t>Jocotepec</t>
  </si>
  <si>
    <t>14097</t>
  </si>
  <si>
    <t>Tlajomulco de Zúñiga</t>
  </si>
  <si>
    <t>14003</t>
  </si>
  <si>
    <t>Ahualulco de Mercado</t>
  </si>
  <si>
    <t>14098</t>
  </si>
  <si>
    <t>San Pedro Tlaquepaque</t>
  </si>
  <si>
    <t>14094</t>
  </si>
  <si>
    <t>Tequila</t>
  </si>
  <si>
    <t>14101</t>
  </si>
  <si>
    <t>Tonalá</t>
  </si>
  <si>
    <t>14120</t>
  </si>
  <si>
    <t>Zapopan</t>
  </si>
  <si>
    <t>14070</t>
  </si>
  <si>
    <t>El Salto</t>
  </si>
  <si>
    <t>14030</t>
  </si>
  <si>
    <t>Chapala</t>
  </si>
  <si>
    <t>14034</t>
  </si>
  <si>
    <t>Ejutla</t>
  </si>
  <si>
    <t>14028</t>
  </si>
  <si>
    <t>Cuautla</t>
  </si>
  <si>
    <t>14076</t>
  </si>
  <si>
    <t>San Martín de Bolaños</t>
  </si>
  <si>
    <t>14071</t>
  </si>
  <si>
    <t>San Cristóbal de la Barranca</t>
  </si>
  <si>
    <t>14031</t>
  </si>
  <si>
    <t>Chimaltitán</t>
  </si>
  <si>
    <t>14056</t>
  </si>
  <si>
    <t>Santa María del Oro</t>
  </si>
  <si>
    <t>Categoría</t>
  </si>
  <si>
    <t>Variable</t>
  </si>
  <si>
    <t>Definición</t>
  </si>
  <si>
    <t>IDENTIFICACIÓN</t>
  </si>
  <si>
    <t>Clave municipal INEGI de 5 dígitos (14XXX para Jalisco)</t>
  </si>
  <si>
    <t>Nombre del municipio</t>
  </si>
  <si>
    <t>Población total proyectada 2024 (fuente: CONAPO)</t>
  </si>
  <si>
    <t>ÍNDICE DE PRIORIZACIÓN</t>
  </si>
  <si>
    <t>MORTALIDAD</t>
  </si>
  <si>
    <t>AVPP</t>
  </si>
  <si>
    <t>PERFIL DEL FALLECIDO</t>
  </si>
  <si>
    <t>% de fallecidos por DM2 que son mujeres</t>
  </si>
  <si>
    <t>ACCESO A SERVICIOS</t>
  </si>
  <si>
    <t>ENIGH — DETERMINANTES DEL HOGAR</t>
  </si>
  <si>
    <t>Sección</t>
  </si>
  <si>
    <t>Elemento</t>
  </si>
  <si>
    <t>Descripción</t>
  </si>
  <si>
    <t>SISTEMA DE PRIORIZACIÓN MUNICIPAL PARA DIABETES — JALISCO</t>
  </si>
  <si>
    <t>OBJETIVO</t>
  </si>
  <si>
    <t>Propósito</t>
  </si>
  <si>
    <t>FUENTES DE DATOS</t>
  </si>
  <si>
    <t>Fuente 1</t>
  </si>
  <si>
    <t>Fuente 2</t>
  </si>
  <si>
    <t>Fuente 3</t>
  </si>
  <si>
    <t>Fuente 4</t>
  </si>
  <si>
    <t>Fuente 5</t>
  </si>
  <si>
    <t>Fuente 6</t>
  </si>
  <si>
    <t>PERIODO DE ANÁLISIS</t>
  </si>
  <si>
    <t>Años incluidos</t>
  </si>
  <si>
    <t>2018, 2019, 2022, 2023, 2024, 2025 (6 años)</t>
  </si>
  <si>
    <t>Años excluidos</t>
  </si>
  <si>
    <t>CÁLCULO DE TASAS</t>
  </si>
  <si>
    <t>Tipo de tasa</t>
  </si>
  <si>
    <t>Tasa cruda de mortalidad — no ajustada por edad</t>
  </si>
  <si>
    <t>Fórmula</t>
  </si>
  <si>
    <t>Tasa = (Total defunciones del periodo / Población acumulada del periodo) × 100,000</t>
  </si>
  <si>
    <t>Población acumulada</t>
  </si>
  <si>
    <t>Interpretación</t>
  </si>
  <si>
    <t>Nota metodológica</t>
  </si>
  <si>
    <t>CÁLCULO DE AVPP</t>
  </si>
  <si>
    <t>Fórmula individual</t>
  </si>
  <si>
    <t>Referencia EV</t>
  </si>
  <si>
    <t>AVPP total municipal</t>
  </si>
  <si>
    <t>AVPP promedio</t>
  </si>
  <si>
    <t>Fuente de datos</t>
  </si>
  <si>
    <t>Método</t>
  </si>
  <si>
    <t>DIMENSIONES DEL ÍNDICE</t>
  </si>
  <si>
    <t>ÍNDICE FINAL</t>
  </si>
  <si>
    <t>Escala</t>
  </si>
  <si>
    <t>Uso recomendado</t>
  </si>
  <si>
    <t>LIMITACIONES</t>
  </si>
  <si>
    <t>Limitación 1</t>
  </si>
  <si>
    <t>Limitación 2</t>
  </si>
  <si>
    <t>Limitación 3</t>
  </si>
  <si>
    <t>Limitación 4</t>
  </si>
  <si>
    <t>Limitación 5</t>
  </si>
  <si>
    <t>PRÓXIMOS PASOS</t>
  </si>
  <si>
    <t>Paso 1</t>
  </si>
  <si>
    <t>Integrar Censo 2020 ITER para cobertura universal de condiciones de vivienda en los 34 municipios sin ENIGH</t>
  </si>
  <si>
    <t>Paso 2</t>
  </si>
  <si>
    <t>Integrar ENSANUT para prevalencia clínica de diabetes, prediabetes e IMC medido</t>
  </si>
  <si>
    <t>Paso 3</t>
  </si>
  <si>
    <t>Integrar índice de seguridad pública municipal</t>
  </si>
  <si>
    <t>Paso 4</t>
  </si>
  <si>
    <t>Paso 5</t>
  </si>
  <si>
    <t>Calcular tasas ajustadas por edad para municipios con población mayor a 20,000 habitantes</t>
  </si>
  <si>
    <t>TABLERO DE PESOS — ÍNDICE DE PRIORIZACIÓN</t>
  </si>
  <si>
    <t>DIMENSIÓN / VARIABLE</t>
  </si>
  <si>
    <t>PESO %</t>
  </si>
  <si>
    <t>D1 — Carga de enfermedad</t>
  </si>
  <si>
    <t>→ Tasa cruda DM2</t>
  </si>
  <si>
    <t>→ AVPP total</t>
  </si>
  <si>
    <t>D2 — Prematuridad</t>
  </si>
  <si>
    <t>→ AVPP promedio</t>
  </si>
  <si>
    <t>D3 — Vulnerabilidad social</t>
  </si>
  <si>
    <t>→ % sin escolaridad</t>
  </si>
  <si>
    <t>→ % sin derechohabiencia</t>
  </si>
  <si>
    <t>→ Ingreso (inverso)</t>
  </si>
  <si>
    <t>→ Vulnerabilidad ENIGH</t>
  </si>
  <si>
    <t>→ Internet (inverso)</t>
  </si>
  <si>
    <t>D4 — Acceso a servicios</t>
  </si>
  <si>
    <t>→ Distancia GDL</t>
  </si>
  <si>
    <t>→ Sin 2do nivel</t>
  </si>
  <si>
    <t>→ Densidad unidades</t>
  </si>
  <si>
    <t>D5 — Trazador metabólico</t>
  </si>
  <si>
    <t>→ Razón ERC/DM2</t>
  </si>
  <si>
    <t>→ % causa contribuyente</t>
  </si>
  <si>
    <t>TOTAL D1+D2+D3+D4+D5</t>
  </si>
  <si>
    <t>norm_tasa_dm2</t>
  </si>
  <si>
    <t>norm_avpp_total</t>
  </si>
  <si>
    <t>norm_avpp_prom</t>
  </si>
  <si>
    <t>norm_sin_escol</t>
  </si>
  <si>
    <t>norm_sin_derecho</t>
  </si>
  <si>
    <t>norm_ingreso_inv</t>
  </si>
  <si>
    <t>norm_vulnerabilidad</t>
  </si>
  <si>
    <t>norm_internet_inv</t>
  </si>
  <si>
    <t>norm_distancia</t>
  </si>
  <si>
    <t>norm_sin_2do</t>
  </si>
  <si>
    <t>norm_densidad</t>
  </si>
  <si>
    <t>norm_erc_dm2</t>
  </si>
  <si>
    <t>norm_contrib</t>
  </si>
  <si>
    <t>D1</t>
  </si>
  <si>
    <t>D2</t>
  </si>
  <si>
    <t>D3</t>
  </si>
  <si>
    <t>D4</t>
  </si>
  <si>
    <t>D5</t>
  </si>
  <si>
    <t>índice final</t>
  </si>
  <si>
    <t>Índice compuesto 0-1 (1=máxima prioridad). Calculado dinámicamente desde la hoja Tablero. Suma de las 5 dimensiones ponderadas</t>
  </si>
  <si>
    <t>Dimensión 1: Carga de enfermedad (peso ajustable, default 35%). Combina tasa cruda DM2 y AVPP total normalizados</t>
  </si>
  <si>
    <t>Dimensión 2: Prematuridad de la muerte (peso ajustable, default 20%). Basada en AVPP promedio normalizado</t>
  </si>
  <si>
    <t>Dimensión 3: Vulnerabilidad social (peso ajustable, default 20%). Combina escolaridad, derechohabiencia, ingreso ENIGH, vulnerabilidad ENIGH e internet</t>
  </si>
  <si>
    <t>Dimensión 4: Acceso a servicios (peso ajustable, default 20%). Combina distancia a GDL, disponibilidad de 2do nivel y densidad de unidades</t>
  </si>
  <si>
    <t>Dimensión 5: Complejidad del trazador metabólico (peso ajustable, default 5%). Combina razón ERC/DM2 y % causa contribuyente</t>
  </si>
  <si>
    <t>NORMALIZACIÓN — INTERMEDIAS</t>
  </si>
  <si>
    <t>Tasa cruda DM2 normalizada Min-Max (0-1). Fórmula: (x-MIN)/(MAX-MIN)</t>
  </si>
  <si>
    <t>AVPP total normalizado Min-Max (0-1)</t>
  </si>
  <si>
    <t>AVPP promedio normalizado Min-Max (0-1)</t>
  </si>
  <si>
    <t>% sin escolaridad normalizado Min-Max (0-1)</t>
  </si>
  <si>
    <t>% sin derechohabiencia normalizado Min-Max (0-1)</t>
  </si>
  <si>
    <t>Ingreso hogar normalizado e invertido (0-1). Fórmula: 1-(x-MIN)/(MAX-MIN). Mayor ingreso = menor riesgo</t>
  </si>
  <si>
    <t>Índice vulnerabilidad ENIGH normalizado Min-Max (0-1)</t>
  </si>
  <si>
    <t>% internet normalizado e invertido (0-1). Mayor acceso = menor riesgo</t>
  </si>
  <si>
    <t>Distancia a GDL normalizada Min-Max (0-1). Mayor distancia = mayor riesgo</t>
  </si>
  <si>
    <t>Disponibilidad de 2do nivel normalizada e invertida (0-1). Sin hospital = mayor riesgo</t>
  </si>
  <si>
    <t>norm_densidad_inv</t>
  </si>
  <si>
    <t>Densidad de unidades normalizada e invertida (0-1). Menor densidad = mayor riesgo</t>
  </si>
  <si>
    <t>Razón ERC/DM2 normalizada Min-Max (0-1)</t>
  </si>
  <si>
    <t>% causa contribuyente normalizado Min-Max (0-1)</t>
  </si>
  <si>
    <t>Total de defunciones donde diabetes aparece en cualquier posición del certificado. Periodo: 2018-2025 excl. 2020-2021 (fuente: Base Jalisco SSJ)</t>
  </si>
  <si>
    <t>Defunciones donde diabetes tipo 2 (E11x) es la causa básica de muerte (fuente: Base Jalisco SSJ)</t>
  </si>
  <si>
    <t>Tasa cruda de mortalidad por DM2 (cualquier causa) por 100,000 hab. Fórmula: (dm2_cualquier / población acumulada del periodo) × 100,000. No ajustada por edad</t>
  </si>
  <si>
    <t>Tasa cruda de mortalidad por DM2 como causa básica por 100,000 hab</t>
  </si>
  <si>
    <t>% de defunciones donde diabetes contribuyó al fallecimiento sin ser la causa básica. Fórmula: (dm2_cualquier - dm2_basica) / dm2_cualquier × 100</t>
  </si>
  <si>
    <t>Total de defunciones con Enfermedad Renal Crónica presente en cualquier posición del certificado</t>
  </si>
  <si>
    <t>Razón de muertes ERC / muertes DM2. Indica progresión del trazador metabólico hacia complicaciones renales</t>
  </si>
  <si>
    <t>Total de defunciones con Hipertensión arterial presente en el certificado</t>
  </si>
  <si>
    <t>Total de defunciones con Obesidad presente en el certificado</t>
  </si>
  <si>
    <t>Total de Años de Vida Perdidos Prematuramente por DM2 acumulados 2018-2024. AVPP = EV(sexo,año) - edad al morir. Fuente: INEGI-DEFUN + CONAPO EV Jalisco</t>
  </si>
  <si>
    <t>Promedio de años perdidos por persona fallecida por DM2. Indica prematuridad de la muerte independientemente del volumen</t>
  </si>
  <si>
    <t>Número de defunciones por DM2 como causa básica (E11x) en base INEGI nacional. Referencia para validación cruzada</t>
  </si>
  <si>
    <t>Edad promedio al momento de la muerte por DM2 (fuente: Base Jalisco SSJ)</t>
  </si>
  <si>
    <t>% de fallecidos sin escolaridad o con primaria incompleta — determinante estructural de salud</t>
  </si>
  <si>
    <t>% de fallecidos sin derechohabiencia a servicios de salud al momento de morir</t>
  </si>
  <si>
    <t>% de fallecidos que mueren en el hogar. Indica posible falta de acceso o atención tardía</t>
  </si>
  <si>
    <t>Distancia en kilómetros de la cabecera municipal a Guadalajara — proxy de acceso a servicios de tercer nivel</t>
  </si>
  <si>
    <t>Total de unidades de salud activas con atención directa (excluye unidades de apoyo como laboratorios y almacenes). Fuente: CLUES marzo 2026</t>
  </si>
  <si>
    <t>Unidades de primer nivel activas: centros de salud y consulta externa</t>
  </si>
  <si>
    <t>Unidades de segundo nivel activas: hospitales generales con capacidad de hospitalización</t>
  </si>
  <si>
    <t>Unidades de tercer nivel activas: hospitales de especialidad</t>
  </si>
  <si>
    <t>Densidad de unidades de atención directa por 100,000 habitantes</t>
  </si>
  <si>
    <t>Calidad del dato ENIGH: ✓ datos directos = municipio en muestra ENIGH</t>
  </si>
  <si>
    <t>Número de hogares en muestra ENIGH para este municipio (ediciones 2016-2024 combinadas)</t>
  </si>
  <si>
    <t>Ingreso corriente promedio del hogar en pesos. Para municipios sin cobertura (~) se usa mediana estatal de Jalisco. Fuente: ENIGH 2016-2024</t>
  </si>
  <si>
    <t>Índice de vulnerabilidad del hogar (0-5): suma de carencias en agua entubada, drenaje, electricidad, piso de tierra y hacinamiento &gt;2.5 personas/cuarto</t>
  </si>
  <si>
    <t>% de hogares con conexión a internet. Proxy de conectividad digital y acceso potencial a telemedicina</t>
  </si>
  <si>
    <t>Gasto en salud como % del ingreso corriente del hogar. Indica carga financiera de la enfermedad</t>
  </si>
  <si>
    <t>Aquí está la metodología actualizada completa:</t>
  </si>
  <si>
    <t>Identificar los municipios de Jalisco con mayor necesidad de intervención en diabetes tipo 2, integrando múltiples fuentes de datos para una priorización basada en evidencia y ajustable según las prioridades del programa de salud</t>
  </si>
  <si>
    <t>Uso del tablero</t>
  </si>
  <si>
    <t>Los pesos de cada dimensión y variable pueden modificarse en la hoja "Tablero". El índice se recalcula automáticamente en la hoja "Priorización" sin necesidad de reprocesar los datos</t>
  </si>
  <si>
    <t>Base de Mortalidad Jalisco 2018-2025 — Secretaría de Salud Jalisco. Registros individuales de defunciones con diabetes como causa básica Y contribuyente. Variables clínicas pre-clasificadas: DIABETES, ERC, HTA, OBESIDAD como indicadores binarios (SI/NO) en cualquier posición del certificado de defunción</t>
  </si>
  <si>
    <t>INEGI — Estadísticas de Mortalidad 2018-2024. Base nacional de defunciones. Usada para cálculo de AVPP con códigos CIE-10 (E11x = Diabetes tipo 2). Permite validación cruzada con la base estatal</t>
  </si>
  <si>
    <t>CONAPO — Proyecciones de Población Municipal 2015-2040. Usada como denominador para tasas de mortalidad y como referencia de esperanza de vida para el cálculo de AVPP</t>
  </si>
  <si>
    <t>ENIGH 2016-2024 — Encuesta Nacional de Ingresos y Gastos de los Hogares (5 ediciones). Determinantes socioeconómicos del hogar. Cobertura: 91 de 125 municipios (72.8%). Para los 34 municipios sin cobertura se usa la mediana estatal de Jalisco como estimación</t>
  </si>
  <si>
    <t>CLUES marzo 2026 — Catálogo de Establecimientos de Salud de la Secretaría de Salud. Capacidad instalada de servicios de salud por municipio, nivel de atención e institución. Se excluyen unidades de apoyo (laboratorios, almacenes, CEYE)</t>
  </si>
  <si>
    <t>Distancias a Guadalajara — Distancia en kilómetros desde la cabecera municipal al centro metropolitano más cercano con servicios de tercer nivel</t>
  </si>
  <si>
    <t>2020 y 2021 — excluidos por efecto pandemia COVID-19 que distorsionó significativamente los patrones de mortalidad. Estos años se conservan en los datos originales pero no se incluyen en los cálculos del índice</t>
  </si>
  <si>
    <t>Suma de la población total proyectada CONAPO para cada año del periodo: 2018+2019+2022+2023+2024+2025</t>
  </si>
  <si>
    <t>Por cada 100,000 personas en el periodo analizado, X fallecieron por diabetes. Refleja la mortalidad real observada sin corrección por estructura demográfica</t>
  </si>
  <si>
    <t>La tasa cruda no controla por estructura de edad. Para interpretar diferencias entre municipios se recomienda considerar también la edad promedio al momento de la muerte y el AVPP promedio</t>
  </si>
  <si>
    <t>Años de Vida Perdidos Prematuramente: mide la carga de mortalidad prematura considerando qué tan joven muere la población respecto a su esperanza de vida esperada</t>
  </si>
  <si>
    <t>AVPP = Esperanza de vida (sexo, año) − Edad al morir. Valores negativos se truncan a 0 (muertes en edad avanzada no generan años perdidos)</t>
  </si>
  <si>
    <t>Esperanza de vida estatal de Jalisco por sexo y año (fuente: CONAPO). Hombres 2024: 73.0 años / Mujeres 2024: 79.3 años</t>
  </si>
  <si>
    <t>Suma de todos los AVPP individuales del municipio — indica carga absoluta de años de vida perdidos</t>
  </si>
  <si>
    <t>Media de AVPP individuales — indica prematuridad de la muerte independientemente del volumen de casos</t>
  </si>
  <si>
    <t>INEGI-DEFUN base nacional (años 2018, 2019, 2022, 2023, 2024). Nota: 2025 no disponible en INEGI al momento del análisis</t>
  </si>
  <si>
    <t>FILTRO DE MUNICIPIOS</t>
  </si>
  <si>
    <t>Criterio</t>
  </si>
  <si>
    <t>Solo se rankean municipios con 30 o más defunciones por diabetes en el periodo analizado</t>
  </si>
  <si>
    <t>Justificación</t>
  </si>
  <si>
    <t>Municipios con menos de 30 casos tienen AVPP estadísticamente inestable — una sola muerte de una persona joven puede distorsionar el promedio significativamente</t>
  </si>
  <si>
    <t>Municipios excluidos</t>
  </si>
  <si>
    <t>6 municipios con menos de 30 muertes aparecen en la base sin ranking: Ejutla, Cuautla, San Martín de Bolaños, San Cristóbal de la Barranca, Chimaltitán, Santa María del Oro</t>
  </si>
  <si>
    <t>NORMALIZACIÓN MIN-MAX</t>
  </si>
  <si>
    <t>Método de normalización que transforma cada variable a una escala común de 0 a 1, donde 0 = municipio con mejor situación y 1 = municipio con peor situación</t>
  </si>
  <si>
    <t>Fórmula estándar</t>
  </si>
  <si>
    <t>valor_norm = (x − mínimo) / (máximo − mínimo)</t>
  </si>
  <si>
    <t>Fórmula inversa</t>
  </si>
  <si>
    <t>valor_norm = 1 − (x − mínimo) / (máximo − mínimo). Se aplica a variables donde más es mejor: ingreso, internet, densidad de unidades de salud, disponibilidad de 2do nivel</t>
  </si>
  <si>
    <t>Rango de normalización</t>
  </si>
  <si>
    <t>Se usan los 125 municipios de Jalisco como rango de referencia</t>
  </si>
  <si>
    <t>CONSTRUCCIÓN DEL ÍNDICE</t>
  </si>
  <si>
    <t>Índice compuesto multidimensional con normalización Min-Max y ponderación ajustable por dimensión y variable interna</t>
  </si>
  <si>
    <t>Tablero dinámico</t>
  </si>
  <si>
    <t>Los pesos se modifican en la hoja "Tablero". Hay dos niveles de pesos: (1) peso de cada dimensión sobre el índice final y (2) peso de cada variable dentro de su dimensión. Ambos deben sumar 100% respectivamente</t>
  </si>
  <si>
    <t>D1 — Carga de enfermedad (default 35%)</t>
  </si>
  <si>
    <t>(norm_tasa_dm2 × peso_tasa% + norm_avpp_total × peso_avpp_t%) × peso_D1%</t>
  </si>
  <si>
    <t>D2 — Prematuridad (default 20%)</t>
  </si>
  <si>
    <t>norm_avpp_prom × peso_avpp_p% × peso_D2%</t>
  </si>
  <si>
    <t>D3 — Vulnerabilidad social (default 20%)</t>
  </si>
  <si>
    <t>(norm_sin_escol × 30% + norm_sin_derecho × 30% + norm_ingreso_inv × 20% + norm_vulnerabilidad × 10% + norm_internet_inv × 10%) × peso_D3%</t>
  </si>
  <si>
    <t>D4 — Acceso a servicios (default 20%)</t>
  </si>
  <si>
    <t>(norm_distancia × 50% + norm_sin_2do × 30% + norm_densidad_inv × 20%) × peso_D4%</t>
  </si>
  <si>
    <t>D5 — Complejidad trazador (default 5%)</t>
  </si>
  <si>
    <t>(norm_erc_dm2 × 50% + norm_contrib × 50%) × peso_D5%</t>
  </si>
  <si>
    <t>Índice = D1 + D2 + D3 + D4 + D5</t>
  </si>
  <si>
    <t>0 = menor necesidad de intervención / 1 = mayor necesidad de intervención</t>
  </si>
  <si>
    <t>Ranking</t>
  </si>
  <si>
    <t>Calculado con función JERARQUIA() de Excel. Se recalcula automáticamente al cambiar los pesos</t>
  </si>
  <si>
    <t>Herramienta de priorización relativa entre municipios de Jalisco. No debe compararse con otros estados sin recalibración de los rangos de normalización</t>
  </si>
  <si>
    <t>La ENIGH no tiene cobertura para 34 municipios (27.2%). Se usa mediana estatal como estimación, lo que puede subestimar vulnerabilidad en municipios rurales pequeños</t>
  </si>
  <si>
    <t>La tasa cruda no controla por estructura de edad. Municipios con mayor proporción de adultos mayores pueden mostrar tasas más altas por razones demográficas y no necesariamente por peor control de la enfermedad</t>
  </si>
  <si>
    <t>Los datos de mortalidad 2025 de la base Jalisco pueden estar incompletos dependiendo del cierre del registro civil al momento de la extracción</t>
  </si>
  <si>
    <t>El AVPP 2025 no está disponible en la base INEGI nacional al momento del análisis</t>
  </si>
  <si>
    <t>La variable seguridad pública no fue integrada por falta de datos municipales estandarizados disponibles al momento del análisis</t>
  </si>
  <si>
    <t>Limitación 6</t>
  </si>
  <si>
    <t>6 municipios con menos de 30 muertes se excluyen del ranking por inestabilidad estadística del AVPP</t>
  </si>
  <si>
    <t>Construir modelo predictivo ML (Random Forest / XGBoost) con datos 2018-2019 y 2022-2024 para proyectar tendencias 2025-2030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</si>
</sst>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2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1" fontId="0" fillId="0" borderId="0" xfId="0" applyNumberFormat="1"/>
    <xf numFmtId="172" fontId="0" fillId="0" borderId="0" xfId="0" applyNumberFormat="1"/>
    <xf numFmtId="17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71" fontId="0" fillId="0" borderId="0" xfId="0" applyNumberFormat="1" applyAlignment="1">
      <alignment horizontal="center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A126"/>
  <sheetViews>
    <sheetView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/>
    </sheetView>
  </sheetViews>
  <sheetFormatPr baseColWidth="10" defaultColWidth="9.23046875" defaultRowHeight="14.6" x14ac:dyDescent="0.4"/>
  <cols>
    <col min="3" max="3" width="26.23046875" bestFit="1" customWidth="1"/>
    <col min="4" max="4" width="13.53515625" bestFit="1" customWidth="1"/>
    <col min="33" max="33" width="21.3828125" bestFit="1" customWidth="1"/>
    <col min="34" max="34" width="19.07421875" bestFit="1" customWidth="1"/>
  </cols>
  <sheetData>
    <row r="1" spans="1:53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2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2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2" t="s">
        <v>32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2" t="s">
        <v>4</v>
      </c>
      <c r="AH1" s="1" t="s">
        <v>33</v>
      </c>
      <c r="AI1" t="s">
        <v>379</v>
      </c>
      <c r="AJ1" t="s">
        <v>380</v>
      </c>
      <c r="AK1" t="s">
        <v>381</v>
      </c>
      <c r="AL1" t="s">
        <v>382</v>
      </c>
      <c r="AM1" t="s">
        <v>383</v>
      </c>
      <c r="AN1" t="s">
        <v>384</v>
      </c>
      <c r="AO1" t="s">
        <v>385</v>
      </c>
      <c r="AP1" t="s">
        <v>386</v>
      </c>
      <c r="AQ1" t="s">
        <v>387</v>
      </c>
      <c r="AR1" t="s">
        <v>388</v>
      </c>
      <c r="AS1" t="s">
        <v>389</v>
      </c>
      <c r="AT1" t="s">
        <v>390</v>
      </c>
      <c r="AU1" t="s">
        <v>391</v>
      </c>
      <c r="AV1" t="s">
        <v>392</v>
      </c>
      <c r="AW1" t="s">
        <v>393</v>
      </c>
      <c r="AX1" t="s">
        <v>394</v>
      </c>
      <c r="AY1" t="s">
        <v>395</v>
      </c>
      <c r="AZ1" t="s">
        <v>396</v>
      </c>
      <c r="BA1" t="s">
        <v>397</v>
      </c>
    </row>
    <row r="2" spans="1:53" hidden="1" x14ac:dyDescent="0.4">
      <c r="B2" t="s">
        <v>39</v>
      </c>
      <c r="C2" t="s">
        <v>40</v>
      </c>
      <c r="D2" s="3">
        <v>11767</v>
      </c>
      <c r="E2" s="3">
        <v>203</v>
      </c>
      <c r="F2">
        <v>72</v>
      </c>
      <c r="G2">
        <v>49.1</v>
      </c>
      <c r="H2">
        <v>104.4</v>
      </c>
      <c r="I2">
        <v>64.5</v>
      </c>
      <c r="J2">
        <v>42</v>
      </c>
      <c r="K2">
        <v>0.21</v>
      </c>
      <c r="L2">
        <v>102</v>
      </c>
      <c r="M2">
        <v>1</v>
      </c>
      <c r="N2">
        <v>327.85797611999988</v>
      </c>
      <c r="O2" s="3">
        <v>6.56</v>
      </c>
      <c r="P2">
        <v>50</v>
      </c>
      <c r="Q2">
        <v>73.58620689655173</v>
      </c>
      <c r="R2">
        <v>44.33</v>
      </c>
      <c r="S2">
        <v>47.78</v>
      </c>
      <c r="T2">
        <v>67</v>
      </c>
      <c r="U2">
        <v>66.010000000000005</v>
      </c>
      <c r="V2" s="3">
        <v>85</v>
      </c>
      <c r="W2">
        <v>4</v>
      </c>
      <c r="X2">
        <v>4</v>
      </c>
      <c r="Y2">
        <v>0</v>
      </c>
      <c r="Z2">
        <v>0</v>
      </c>
      <c r="AA2" s="3">
        <v>34</v>
      </c>
      <c r="AB2">
        <v>22</v>
      </c>
      <c r="AC2">
        <v>32106.66</v>
      </c>
      <c r="AD2">
        <v>0.45</v>
      </c>
      <c r="AE2">
        <v>0</v>
      </c>
      <c r="AF2">
        <v>1.91</v>
      </c>
      <c r="AG2" s="10">
        <f>AV2+AW2+AX2+AY2+AZ2</f>
        <v>0.5715628245330947</v>
      </c>
      <c r="AH2" t="s">
        <v>41</v>
      </c>
      <c r="AI2" s="9">
        <f>(G2-MIN($G$2:$G$126))/(MAX($G$2:$G$126)-MIN($G$2:$G$126))</f>
        <v>1</v>
      </c>
      <c r="AJ2" s="9">
        <f>(N2-MIN($N$2:$N$126))/(MAX($N$2:$N$126)-MIN($N$2:$N$126))</f>
        <v>6.9149391417807739E-3</v>
      </c>
      <c r="AK2" s="9">
        <f>(O2-MIN($O$2:$O$126))/(MAX($O$2:$O$126)-MIN($O$2:$O$126))</f>
        <v>0.31953239162201652</v>
      </c>
      <c r="AL2" s="9">
        <f>(S2-MIN($S$2:$S$126))/(MAX($S$2:$S$126)-MIN($S$2:$S$126))</f>
        <v>0.86708566108007445</v>
      </c>
      <c r="AM2" s="9">
        <f>(T2-MIN($T$2:$T$126))/(MAX($T$2:$T$126)-MIN($T$2:$T$126))</f>
        <v>0.68803111047097798</v>
      </c>
      <c r="AN2" s="9">
        <f>1-(AC2-MIN($AC$2:$AC$126))/(MAX($AC$2:$AC$126)-MIN($AC$2:$AC$126))</f>
        <v>0.82998799380443655</v>
      </c>
      <c r="AO2" s="9">
        <f>(AD2-MIN($AD$2:$AD$126))/(MAX($AD$2:$AD$126)-MIN($AD$2:$AD$126))</f>
        <v>0.26946107784431139</v>
      </c>
      <c r="AP2" s="9">
        <f>1-(AE2-MIN($AE$2:$AE$126))/(MAX($AE$2:$AE$126)-MIN($AE$2:$AE$126))</f>
        <v>1</v>
      </c>
      <c r="AQ2" s="9">
        <f>(V2-MIN($V$2:$V$126))/(MAX($V$2:$V$126)-MIN($V$2:$V$126))</f>
        <v>0.2361111111111111</v>
      </c>
      <c r="AR2" s="9">
        <f>1-(Y2-MIN($Y$2:$Y$126))/(MAX($Y$2:$Y$126)-MIN($Y$2:$Y$126))</f>
        <v>1</v>
      </c>
      <c r="AS2" s="11">
        <f>1-(AA2-MIN($AA$2:$AA$126))/(MAX($AA$2:$AA$126)-MIN($AA$2:$AA$126))</f>
        <v>0.77261200338123415</v>
      </c>
      <c r="AT2" s="9">
        <f>(K2-MIN($K$2:$K$126))/(MAX($K$2:$K$126)-MIN($K$2:$K$126))</f>
        <v>0.48484848484848475</v>
      </c>
      <c r="AU2" s="9">
        <f>(L2-MIN($L$2:$L$126))/(MAX($L$2:$L$126)-MIN($L$2:$L$126))</f>
        <v>1.3121924548933843E-2</v>
      </c>
      <c r="AV2" s="8">
        <f>(AI2*(Tablero!$B$5/100)+AJ2*(Tablero!$B$6/100))*(Tablero!$B$4/100)</f>
        <v>0.15069149391417808</v>
      </c>
      <c r="AW2" s="8">
        <f>(AK2*(Tablero!$B$8/100))*(Tablero!$B$7/100)</f>
        <v>7.988309790550413E-2</v>
      </c>
      <c r="AX2" s="7">
        <f>(AL2*(Tablero!$B$10/100)+AM2*(Tablero!$B$11/100)+AN2*(Tablero!$B$12/100)+AO2*(Tablero!$B$13/100)+AP2*(Tablero!$B$14/100))*(Tablero!$B$9/100)</f>
        <v>0.16061256128283513</v>
      </c>
      <c r="AY2" s="8">
        <f>(AQ2*(Tablero!$B$16/100)+AR2*(Tablero!$B$17/100)+AS2*(Tablero!$B$18/100))*(Tablero!$B$15/100)</f>
        <v>0.16792641119564197</v>
      </c>
      <c r="AZ2" s="8">
        <f>(AT2*(Tablero!$B$20/100)+AU2*(Tablero!$B$21/100))*(Tablero!$B$19/100)</f>
        <v>1.2449260234935465E-2</v>
      </c>
    </row>
    <row r="3" spans="1:53" hidden="1" x14ac:dyDescent="0.4">
      <c r="B3" t="s">
        <v>42</v>
      </c>
      <c r="C3" t="s">
        <v>43</v>
      </c>
      <c r="D3" s="3">
        <v>5533</v>
      </c>
      <c r="E3" s="3">
        <v>66</v>
      </c>
      <c r="F3">
        <v>18</v>
      </c>
      <c r="G3">
        <v>33.6</v>
      </c>
      <c r="H3">
        <v>54.9</v>
      </c>
      <c r="I3">
        <v>72.7</v>
      </c>
      <c r="J3">
        <v>10</v>
      </c>
      <c r="K3">
        <v>0.15</v>
      </c>
      <c r="L3">
        <v>26</v>
      </c>
      <c r="M3">
        <v>0</v>
      </c>
      <c r="N3">
        <v>60.412908149999993</v>
      </c>
      <c r="O3" s="3">
        <v>5.49</v>
      </c>
      <c r="P3">
        <v>11</v>
      </c>
      <c r="Q3">
        <v>75.060606060606062</v>
      </c>
      <c r="R3">
        <v>62.12</v>
      </c>
      <c r="S3">
        <v>48.48</v>
      </c>
      <c r="T3">
        <v>78.790000000000006</v>
      </c>
      <c r="U3">
        <v>65.150000000000006</v>
      </c>
      <c r="V3" s="3">
        <v>345</v>
      </c>
      <c r="W3">
        <v>1</v>
      </c>
      <c r="X3">
        <v>1</v>
      </c>
      <c r="Y3">
        <v>0</v>
      </c>
      <c r="Z3">
        <v>0</v>
      </c>
      <c r="AA3" s="3">
        <v>18.100000000000001</v>
      </c>
      <c r="AB3">
        <v>20</v>
      </c>
      <c r="AC3">
        <v>42437.84</v>
      </c>
      <c r="AD3">
        <v>0</v>
      </c>
      <c r="AE3">
        <v>30</v>
      </c>
      <c r="AF3">
        <v>2.4900000000000002</v>
      </c>
      <c r="AG3" s="10">
        <f t="shared" ref="AG3:AG66" si="0">AV3+AW3+AX3+AY3+AZ3</f>
        <v>0.55318995328498333</v>
      </c>
      <c r="AH3" t="s">
        <v>41</v>
      </c>
      <c r="AI3" s="9">
        <f>(G3-MIN($G$2:$G$126))/(MAX($G$2:$G$126)-MIN($G$2:$G$126))</f>
        <v>0.636150234741784</v>
      </c>
      <c r="AJ3" s="9">
        <f>(N3-MIN($N$2:$N$126))/(MAX($N$2:$N$126)-MIN($N$2:$N$126))</f>
        <v>1.2741845971816152E-3</v>
      </c>
      <c r="AK3" s="9">
        <f>(O3-MIN($O$2:$O$126))/(MAX($O$2:$O$126)-MIN($O$2:$O$126))</f>
        <v>0.26741354115927912</v>
      </c>
      <c r="AL3" s="9">
        <f>(S3-MIN($S$2:$S$126))/(MAX($S$2:$S$126)-MIN($S$2:$S$126))</f>
        <v>0.88337988826815628</v>
      </c>
      <c r="AM3" s="9">
        <f>(T3-MIN($T$2:$T$126))/(MAX($T$2:$T$126)-MIN($T$2:$T$126))</f>
        <v>0.85784243122569503</v>
      </c>
      <c r="AN3" s="9">
        <f>1-(AC3-MIN($AC$2:$AC$126))/(MAX($AC$2:$AC$126)-MIN($AC$2:$AC$126))</f>
        <v>0.72478174488005509</v>
      </c>
      <c r="AO3" s="9">
        <f>(AD3-MIN($AD$2:$AD$126))/(MAX($AD$2:$AD$126)-MIN($AD$2:$AD$126))</f>
        <v>0</v>
      </c>
      <c r="AP3" s="9">
        <f>1-(AE3-MIN($AE$2:$AE$126))/(MAX($AE$2:$AE$126)-MIN($AE$2:$AE$126))</f>
        <v>0.7</v>
      </c>
      <c r="AQ3" s="9">
        <f>(V3-MIN($V$2:$V$126))/(MAX($V$2:$V$126)-MIN($V$2:$V$126))</f>
        <v>0.95833333333333337</v>
      </c>
      <c r="AR3" s="9">
        <f>1-(Y3-MIN($Y$2:$Y$126))/(MAX($Y$2:$Y$126)-MIN($Y$2:$Y$126))</f>
        <v>1</v>
      </c>
      <c r="AS3" s="9">
        <f>1-(AA3-MIN($AA$2:$AA$126))/(MAX($AA$2:$AA$126)-MIN($AA$2:$AA$126))</f>
        <v>0.90701606086221465</v>
      </c>
      <c r="AT3" s="9">
        <f>(K3-MIN($K$2:$K$126))/(MAX($K$2:$K$126)-MIN($K$2:$K$126))</f>
        <v>0.30303030303030298</v>
      </c>
      <c r="AU3" s="9">
        <f>(L3-MIN($L$2:$L$126))/(MAX($L$2:$L$126)-MIN($L$2:$L$126))</f>
        <v>2.7337342810278839E-3</v>
      </c>
      <c r="AV3" s="8">
        <f>(AI3*(Tablero!$B$5/100)+AJ3*(Tablero!$B$6/100))*(Tablero!$B$4/100)</f>
        <v>9.554995367098576E-2</v>
      </c>
      <c r="AW3" s="8">
        <f>(AK3*(Tablero!$B$8/100))*(Tablero!$B$7/100)</f>
        <v>6.6853385289819781E-2</v>
      </c>
      <c r="AX3" s="8">
        <f>(AL3*(Tablero!$B$10/100)+AM3*(Tablero!$B$11/100)+AN3*(Tablero!$B$12/100)+AO3*(Tablero!$B$13/100)+AP3*(Tablero!$B$14/100))*(Tablero!$B$9/100)</f>
        <v>0.13963377853650591</v>
      </c>
      <c r="AY3" s="8">
        <f>(AQ3*(Tablero!$B$16/100)+AR3*(Tablero!$B$17/100)+AS3*(Tablero!$B$18/100))*(Tablero!$B$15/100)</f>
        <v>0.24350873485488869</v>
      </c>
      <c r="AZ3" s="8">
        <f>(AT3*(Tablero!$B$20/100)+AU3*(Tablero!$B$21/100))*(Tablero!$B$19/100)</f>
        <v>7.6441009327832725E-3</v>
      </c>
    </row>
    <row r="4" spans="1:53" hidden="1" x14ac:dyDescent="0.4">
      <c r="B4" t="s">
        <v>44</v>
      </c>
      <c r="C4" t="s">
        <v>45</v>
      </c>
      <c r="D4" s="3">
        <v>9605</v>
      </c>
      <c r="E4" s="3">
        <v>50</v>
      </c>
      <c r="F4">
        <v>19</v>
      </c>
      <c r="G4">
        <v>14.4</v>
      </c>
      <c r="H4">
        <v>32.9</v>
      </c>
      <c r="I4">
        <v>62</v>
      </c>
      <c r="J4">
        <v>11</v>
      </c>
      <c r="K4">
        <v>0.22</v>
      </c>
      <c r="L4">
        <v>26</v>
      </c>
      <c r="M4">
        <v>0</v>
      </c>
      <c r="N4">
        <v>109.39065225</v>
      </c>
      <c r="O4" s="3">
        <v>15.63</v>
      </c>
      <c r="P4">
        <v>7</v>
      </c>
      <c r="Q4">
        <v>68.44</v>
      </c>
      <c r="R4">
        <v>32</v>
      </c>
      <c r="S4">
        <v>28</v>
      </c>
      <c r="T4">
        <v>68</v>
      </c>
      <c r="U4">
        <v>50</v>
      </c>
      <c r="V4" s="3">
        <v>310</v>
      </c>
      <c r="W4">
        <v>3</v>
      </c>
      <c r="X4">
        <v>3</v>
      </c>
      <c r="Y4">
        <v>0</v>
      </c>
      <c r="Z4">
        <v>0</v>
      </c>
      <c r="AA4" s="3">
        <v>31.2</v>
      </c>
      <c r="AB4">
        <v>21</v>
      </c>
      <c r="AC4">
        <v>27116.98</v>
      </c>
      <c r="AD4">
        <v>1.67</v>
      </c>
      <c r="AE4">
        <v>4.76</v>
      </c>
      <c r="AF4">
        <v>1.24</v>
      </c>
      <c r="AG4" s="10">
        <f t="shared" si="0"/>
        <v>0.62643128984759011</v>
      </c>
      <c r="AH4" t="s">
        <v>41</v>
      </c>
      <c r="AI4" s="9">
        <f>(G4-MIN($G$2:$G$126))/(MAX($G$2:$G$126)-MIN($G$2:$G$126))</f>
        <v>0.18544600938967137</v>
      </c>
      <c r="AJ4" s="9">
        <f>(N4-MIN($N$2:$N$126))/(MAX($N$2:$N$126)-MIN($N$2:$N$126))</f>
        <v>2.3071871300504579E-3</v>
      </c>
      <c r="AK4" s="9">
        <f>(O4-MIN($O$2:$O$126))/(MAX($O$2:$O$126)-MIN($O$2:$O$126))</f>
        <v>0.76132489040428641</v>
      </c>
      <c r="AL4" s="9">
        <f>(S4-MIN($S$2:$S$126))/(MAX($S$2:$S$126)-MIN($S$2:$S$126))</f>
        <v>0.40665735567970202</v>
      </c>
      <c r="AM4" s="9">
        <f>(T4-MIN($T$2:$T$126))/(MAX($T$2:$T$126)-MIN($T$2:$T$126))</f>
        <v>0.70243410629410918</v>
      </c>
      <c r="AN4" s="9">
        <f>1-(AC4-MIN($AC$2:$AC$126))/(MAX($AC$2:$AC$126)-MIN($AC$2:$AC$126))</f>
        <v>0.88079976130176085</v>
      </c>
      <c r="AO4" s="9">
        <f>(AD4-MIN($AD$2:$AD$126))/(MAX($AD$2:$AD$126)-MIN($AD$2:$AD$126))</f>
        <v>1</v>
      </c>
      <c r="AP4" s="9">
        <f>1-(AE4-MIN($AE$2:$AE$126))/(MAX($AE$2:$AE$126)-MIN($AE$2:$AE$126))</f>
        <v>0.95240000000000002</v>
      </c>
      <c r="AQ4" s="9">
        <f>(V4-MIN($V$2:$V$126))/(MAX($V$2:$V$126)-MIN($V$2:$V$126))</f>
        <v>0.86111111111111116</v>
      </c>
      <c r="AR4" s="9">
        <f>1-(Y4-MIN($Y$2:$Y$126))/(MAX($Y$2:$Y$126)-MIN($Y$2:$Y$126))</f>
        <v>1</v>
      </c>
      <c r="AS4" s="9">
        <f>1-(AA4-MIN($AA$2:$AA$126))/(MAX($AA$2:$AA$126)-MIN($AA$2:$AA$126))</f>
        <v>0.79628064243448859</v>
      </c>
      <c r="AT4" s="9">
        <f>(K4-MIN($K$2:$K$126))/(MAX($K$2:$K$126)-MIN($K$2:$K$126))</f>
        <v>0.51515151515151503</v>
      </c>
      <c r="AU4" s="9">
        <f>(L4-MIN($L$2:$L$126))/(MAX($L$2:$L$126)-MIN($L$2:$L$126))</f>
        <v>2.7337342810278839E-3</v>
      </c>
      <c r="AV4" s="8">
        <f>(AI4*(Tablero!$B$5/100)+AJ4*(Tablero!$B$6/100))*(Tablero!$B$4/100)</f>
        <v>2.8047620121455751E-2</v>
      </c>
      <c r="AW4" s="8">
        <f>(AK4*(Tablero!$B$8/100))*(Tablero!$B$7/100)</f>
        <v>0.1903312226010716</v>
      </c>
      <c r="AX4" s="8">
        <f>(AL4*(Tablero!$B$10/100)+AM4*(Tablero!$B$11/100)+AN4*(Tablero!$B$12/100)+AO4*(Tablero!$B$13/100)+AP4*(Tablero!$B$14/100))*(Tablero!$B$9/100)</f>
        <v>0.16408718871727582</v>
      </c>
      <c r="AY4" s="8">
        <f>(AQ4*(Tablero!$B$16/100)+AR4*(Tablero!$B$17/100)+AS4*(Tablero!$B$18/100))*(Tablero!$B$15/100)</f>
        <v>0.23101812717197334</v>
      </c>
      <c r="AZ4" s="8">
        <f>(AT4*(Tablero!$B$20/100)+AU4*(Tablero!$B$21/100))*(Tablero!$B$19/100)</f>
        <v>1.2947131235813572E-2</v>
      </c>
    </row>
    <row r="5" spans="1:53" hidden="1" x14ac:dyDescent="0.4">
      <c r="B5" t="s">
        <v>46</v>
      </c>
      <c r="C5" t="s">
        <v>47</v>
      </c>
      <c r="D5" s="3">
        <v>7148</v>
      </c>
      <c r="E5" s="3">
        <v>33</v>
      </c>
      <c r="F5">
        <v>7</v>
      </c>
      <c r="G5">
        <v>12.8</v>
      </c>
      <c r="H5">
        <v>16.2</v>
      </c>
      <c r="I5">
        <v>78.8</v>
      </c>
      <c r="J5">
        <v>5</v>
      </c>
      <c r="K5">
        <v>0.15</v>
      </c>
      <c r="L5">
        <v>14</v>
      </c>
      <c r="M5">
        <v>2</v>
      </c>
      <c r="N5">
        <v>20.533503199999998</v>
      </c>
      <c r="O5" s="3">
        <v>20.53</v>
      </c>
      <c r="P5">
        <v>1</v>
      </c>
      <c r="Q5">
        <v>72.181818181818187</v>
      </c>
      <c r="R5">
        <v>48.48</v>
      </c>
      <c r="S5">
        <v>39.39</v>
      </c>
      <c r="T5">
        <v>45.45</v>
      </c>
      <c r="U5">
        <v>51.52</v>
      </c>
      <c r="V5" s="3">
        <v>305</v>
      </c>
      <c r="W5">
        <v>6</v>
      </c>
      <c r="X5">
        <v>6</v>
      </c>
      <c r="Y5">
        <v>0</v>
      </c>
      <c r="Z5">
        <v>0</v>
      </c>
      <c r="AA5" s="3">
        <v>83.9</v>
      </c>
      <c r="AC5">
        <v>52157.1</v>
      </c>
      <c r="AD5">
        <v>0.12</v>
      </c>
      <c r="AE5">
        <v>45.83</v>
      </c>
      <c r="AF5">
        <v>3.02</v>
      </c>
      <c r="AG5" s="10">
        <f t="shared" si="0"/>
        <v>0.59170561063001348</v>
      </c>
      <c r="AH5" t="s">
        <v>48</v>
      </c>
      <c r="AI5" s="9">
        <f>(G5-MIN($G$2:$G$126))/(MAX($G$2:$G$126)-MIN($G$2:$G$126))</f>
        <v>0.147887323943662</v>
      </c>
      <c r="AJ5" s="9">
        <f>(N5-MIN($N$2:$N$126))/(MAX($N$2:$N$126)-MIN($N$2:$N$126))</f>
        <v>4.3307753764572593E-4</v>
      </c>
      <c r="AK5" s="9">
        <f>(O5-MIN($O$2:$O$126))/(MAX($O$2:$O$126)-MIN($O$2:$O$126))</f>
        <v>1</v>
      </c>
      <c r="AL5" s="9">
        <f>(S5-MIN($S$2:$S$126))/(MAX($S$2:$S$126)-MIN($S$2:$S$126))</f>
        <v>0.67178770949720668</v>
      </c>
      <c r="AM5" s="9">
        <f>(T5-MIN($T$2:$T$126))/(MAX($T$2:$T$126)-MIN($T$2:$T$126))</f>
        <v>0.37764655048250045</v>
      </c>
      <c r="AN5" s="9">
        <f>1-(AC5-MIN($AC$2:$AC$126))/(MAX($AC$2:$AC$126)-MIN($AC$2:$AC$126))</f>
        <v>0.62580690493720414</v>
      </c>
      <c r="AO5" s="9">
        <f>(AD5-MIN($AD$2:$AD$126))/(MAX($AD$2:$AD$126)-MIN($AD$2:$AD$126))</f>
        <v>7.1856287425149698E-2</v>
      </c>
      <c r="AP5" s="9">
        <f>1-(AE5-MIN($AE$2:$AE$126))/(MAX($AE$2:$AE$126)-MIN($AE$2:$AE$126))</f>
        <v>0.54170000000000007</v>
      </c>
      <c r="AQ5" s="9">
        <f>(V5-MIN($V$2:$V$126))/(MAX($V$2:$V$126)-MIN($V$2:$V$126))</f>
        <v>0.84722222222222221</v>
      </c>
      <c r="AR5" s="9">
        <f>1-(Y5-MIN($Y$2:$Y$126))/(MAX($Y$2:$Y$126)-MIN($Y$2:$Y$126))</f>
        <v>1</v>
      </c>
      <c r="AS5" s="9">
        <f>1-(AA5-MIN($AA$2:$AA$126))/(MAX($AA$2:$AA$126)-MIN($AA$2:$AA$126))</f>
        <v>0.3508030431107354</v>
      </c>
      <c r="AT5" s="9">
        <f>(K5-MIN($K$2:$K$126))/(MAX($K$2:$K$126)-MIN($K$2:$K$126))</f>
        <v>0.30303030303030298</v>
      </c>
      <c r="AU5" s="9">
        <f>(L5-MIN($L$2:$L$126))/(MAX($L$2:$L$126)-MIN($L$2:$L$126))</f>
        <v>1.0934937124111536E-3</v>
      </c>
      <c r="AV5" s="8">
        <f>(AI5*(Tablero!$B$5/100)+AJ5*(Tablero!$B$6/100))*(Tablero!$B$4/100)</f>
        <v>2.2226406345313868E-2</v>
      </c>
      <c r="AW5" s="8">
        <f>(AK5*(Tablero!$B$8/100))*(Tablero!$B$7/100)</f>
        <v>0.25</v>
      </c>
      <c r="AX5" s="8">
        <f>(AL5*(Tablero!$B$10/100)+AM5*(Tablero!$B$11/100)+AN5*(Tablero!$B$12/100)+AO5*(Tablero!$B$13/100)+AP5*(Tablero!$B$14/100))*(Tablero!$B$9/100)</f>
        <v>9.3383811066141242E-2</v>
      </c>
      <c r="AY5" s="8">
        <f>(AQ5*(Tablero!$B$16/100)+AR5*(Tablero!$B$17/100)+AS5*(Tablero!$B$18/100))*(Tablero!$B$15/100)</f>
        <v>0.21849229829999062</v>
      </c>
      <c r="AZ5" s="8">
        <f>(AT5*(Tablero!$B$20/100)+AU5*(Tablero!$B$21/100))*(Tablero!$B$19/100)</f>
        <v>7.6030949185678532E-3</v>
      </c>
    </row>
    <row r="6" spans="1:53" hidden="1" x14ac:dyDescent="0.4">
      <c r="B6" t="s">
        <v>49</v>
      </c>
      <c r="C6" t="s">
        <v>50</v>
      </c>
      <c r="D6" s="3">
        <v>13337</v>
      </c>
      <c r="E6" s="3">
        <v>138</v>
      </c>
      <c r="F6">
        <v>66</v>
      </c>
      <c r="G6">
        <v>29</v>
      </c>
      <c r="H6">
        <v>83.3</v>
      </c>
      <c r="I6">
        <v>52.2</v>
      </c>
      <c r="J6">
        <v>52</v>
      </c>
      <c r="K6">
        <v>0.38</v>
      </c>
      <c r="L6">
        <v>54</v>
      </c>
      <c r="M6">
        <v>4</v>
      </c>
      <c r="N6">
        <v>285.81305062999991</v>
      </c>
      <c r="O6" s="3">
        <v>7.52</v>
      </c>
      <c r="P6">
        <v>38</v>
      </c>
      <c r="Q6">
        <v>71.282608695652172</v>
      </c>
      <c r="R6">
        <v>44.93</v>
      </c>
      <c r="S6">
        <v>35.51</v>
      </c>
      <c r="T6">
        <v>64.489999999999995</v>
      </c>
      <c r="U6">
        <v>47.83</v>
      </c>
      <c r="V6" s="3">
        <v>170</v>
      </c>
      <c r="W6">
        <v>5</v>
      </c>
      <c r="X6">
        <v>5</v>
      </c>
      <c r="Y6">
        <v>0</v>
      </c>
      <c r="Z6">
        <v>0</v>
      </c>
      <c r="AA6" s="3">
        <v>37.5</v>
      </c>
      <c r="AB6">
        <v>18</v>
      </c>
      <c r="AC6">
        <v>23706.66</v>
      </c>
      <c r="AD6">
        <v>1.1100000000000001</v>
      </c>
      <c r="AE6">
        <v>0</v>
      </c>
      <c r="AF6">
        <v>1.1599999999999999</v>
      </c>
      <c r="AG6" s="10">
        <f t="shared" si="0"/>
        <v>0.54970955443099745</v>
      </c>
      <c r="AH6" t="s">
        <v>41</v>
      </c>
      <c r="AI6" s="9">
        <f>(G6-MIN($G$2:$G$126))/(MAX($G$2:$G$126)-MIN($G$2:$G$126))</f>
        <v>0.528169014084507</v>
      </c>
      <c r="AJ6" s="9">
        <f>(N6-MIN($N$2:$N$126))/(MAX($N$2:$N$126)-MIN($N$2:$N$126))</f>
        <v>6.0281585167529317E-3</v>
      </c>
      <c r="AK6" s="9">
        <f>(O6-MIN($O$2:$O$126))/(MAX($O$2:$O$126)-MIN($O$2:$O$126))</f>
        <v>0.36629322942036041</v>
      </c>
      <c r="AL6" s="9">
        <f>(S6-MIN($S$2:$S$126))/(MAX($S$2:$S$126)-MIN($S$2:$S$126))</f>
        <v>0.58147113594040956</v>
      </c>
      <c r="AM6" s="9">
        <f>(T6-MIN($T$2:$T$126))/(MAX($T$2:$T$126)-MIN($T$2:$T$126))</f>
        <v>0.65187959095491854</v>
      </c>
      <c r="AN6" s="9">
        <f>1-(AC6-MIN($AC$2:$AC$126))/(MAX($AC$2:$AC$126)-MIN($AC$2:$AC$126))</f>
        <v>0.9155283184299684</v>
      </c>
      <c r="AO6" s="9">
        <f>(AD6-MIN($AD$2:$AD$126))/(MAX($AD$2:$AD$126)-MIN($AD$2:$AD$126))</f>
        <v>0.66467065868263486</v>
      </c>
      <c r="AP6" s="9">
        <f>1-(AE6-MIN($AE$2:$AE$126))/(MAX($AE$2:$AE$126)-MIN($AE$2:$AE$126))</f>
        <v>1</v>
      </c>
      <c r="AQ6" s="9">
        <f>(V6-MIN($V$2:$V$126))/(MAX($V$2:$V$126)-MIN($V$2:$V$126))</f>
        <v>0.47222222222222221</v>
      </c>
      <c r="AR6" s="9">
        <f>1-(Y6-MIN($Y$2:$Y$126))/(MAX($Y$2:$Y$126)-MIN($Y$2:$Y$126))</f>
        <v>1</v>
      </c>
      <c r="AS6" s="9">
        <f>1-(AA6-MIN($AA$2:$AA$126))/(MAX($AA$2:$AA$126)-MIN($AA$2:$AA$126))</f>
        <v>0.74302620456466606</v>
      </c>
      <c r="AT6" s="9">
        <f>(K6-MIN($K$2:$K$126))/(MAX($K$2:$K$126)-MIN($K$2:$K$126))</f>
        <v>1</v>
      </c>
      <c r="AU6" s="9">
        <f>(L6-MIN($L$2:$L$126))/(MAX($L$2:$L$126)-MIN($L$2:$L$126))</f>
        <v>6.5609622744669215E-3</v>
      </c>
      <c r="AV6" s="8">
        <f>(AI6*(Tablero!$B$5/100)+AJ6*(Tablero!$B$6/100))*(Tablero!$B$4/100)</f>
        <v>7.982816796435134E-2</v>
      </c>
      <c r="AW6" s="8">
        <f>(AK6*(Tablero!$B$8/100))*(Tablero!$B$7/100)</f>
        <v>9.1573307355090103E-2</v>
      </c>
      <c r="AX6" s="8">
        <f>(AL6*(Tablero!$B$10/100)+AM6*(Tablero!$B$11/100)+AN6*(Tablero!$B$12/100)+AO6*(Tablero!$B$13/100)+AP6*(Tablero!$B$14/100))*(Tablero!$B$9/100)</f>
        <v>0.16234617771835538</v>
      </c>
      <c r="AY6" s="8">
        <f>(AQ6*(Tablero!$B$16/100)+AR6*(Tablero!$B$17/100)+AS6*(Tablero!$B$18/100))*(Tablero!$B$15/100)</f>
        <v>0.19079787733633888</v>
      </c>
      <c r="AZ6" s="8">
        <f>(AT6*(Tablero!$B$20/100)+AU6*(Tablero!$B$21/100))*(Tablero!$B$19/100)</f>
        <v>2.5164024056861675E-2</v>
      </c>
    </row>
    <row r="7" spans="1:53" hidden="1" x14ac:dyDescent="0.4">
      <c r="B7" t="s">
        <v>51</v>
      </c>
      <c r="C7" t="s">
        <v>52</v>
      </c>
      <c r="D7" s="3">
        <v>6589</v>
      </c>
      <c r="E7" s="3">
        <v>81</v>
      </c>
      <c r="F7">
        <v>24</v>
      </c>
      <c r="G7">
        <v>34.6</v>
      </c>
      <c r="H7">
        <v>61.4</v>
      </c>
      <c r="I7">
        <v>70.400000000000006</v>
      </c>
      <c r="J7">
        <v>20</v>
      </c>
      <c r="K7">
        <v>0.25</v>
      </c>
      <c r="L7">
        <v>34</v>
      </c>
      <c r="M7">
        <v>1</v>
      </c>
      <c r="N7">
        <v>101.93710967</v>
      </c>
      <c r="O7" s="3">
        <v>6.37</v>
      </c>
      <c r="P7">
        <v>16</v>
      </c>
      <c r="Q7">
        <v>71.283950617283949</v>
      </c>
      <c r="R7">
        <v>43.21</v>
      </c>
      <c r="S7">
        <v>37.04</v>
      </c>
      <c r="T7">
        <v>66.67</v>
      </c>
      <c r="U7">
        <v>67.900000000000006</v>
      </c>
      <c r="V7" s="3">
        <v>175</v>
      </c>
      <c r="W7">
        <v>1</v>
      </c>
      <c r="X7">
        <v>1</v>
      </c>
      <c r="Y7">
        <v>0</v>
      </c>
      <c r="Z7">
        <v>0</v>
      </c>
      <c r="AA7" s="3">
        <v>15.2</v>
      </c>
      <c r="AC7">
        <v>52157.1</v>
      </c>
      <c r="AD7">
        <v>0.12</v>
      </c>
      <c r="AE7">
        <v>45.83</v>
      </c>
      <c r="AF7">
        <v>3.02</v>
      </c>
      <c r="AG7" s="10">
        <f t="shared" si="0"/>
        <v>0.49950229239358318</v>
      </c>
      <c r="AH7" t="s">
        <v>48</v>
      </c>
      <c r="AI7" s="9">
        <f>(G7-MIN($G$2:$G$126))/(MAX($G$2:$G$126)-MIN($G$2:$G$126))</f>
        <v>0.65962441314553988</v>
      </c>
      <c r="AJ7" s="9">
        <f>(N7-MIN($N$2:$N$126))/(MAX($N$2:$N$126)-MIN($N$2:$N$126))</f>
        <v>2.1499824954665271E-3</v>
      </c>
      <c r="AK7" s="9">
        <f>(O7-MIN($O$2:$O$126))/(MAX($O$2:$O$126)-MIN($O$2:$O$126))</f>
        <v>0.31027764247442763</v>
      </c>
      <c r="AL7" s="9">
        <f>(S7-MIN($S$2:$S$126))/(MAX($S$2:$S$126)-MIN($S$2:$S$126))</f>
        <v>0.61708566108007445</v>
      </c>
      <c r="AM7" s="9">
        <f>(T7-MIN($T$2:$T$126))/(MAX($T$2:$T$126)-MIN($T$2:$T$126))</f>
        <v>0.68327812184934467</v>
      </c>
      <c r="AN7" s="9">
        <f>1-(AC7-MIN($AC$2:$AC$126))/(MAX($AC$2:$AC$126)-MIN($AC$2:$AC$126))</f>
        <v>0.62580690493720414</v>
      </c>
      <c r="AO7" s="9">
        <f>(AD7-MIN($AD$2:$AD$126))/(MAX($AD$2:$AD$126)-MIN($AD$2:$AD$126))</f>
        <v>7.1856287425149698E-2</v>
      </c>
      <c r="AP7" s="9">
        <f>1-(AE7-MIN($AE$2:$AE$126))/(MAX($AE$2:$AE$126)-MIN($AE$2:$AE$126))</f>
        <v>0.54170000000000007</v>
      </c>
      <c r="AQ7" s="9">
        <f>(V7-MIN($V$2:$V$126))/(MAX($V$2:$V$126)-MIN($V$2:$V$126))</f>
        <v>0.4861111111111111</v>
      </c>
      <c r="AR7" s="9">
        <f>1-(Y7-MIN($Y$2:$Y$126))/(MAX($Y$2:$Y$126)-MIN($Y$2:$Y$126))</f>
        <v>1</v>
      </c>
      <c r="AS7" s="9">
        <f>1-(AA7-MIN($AA$2:$AA$126))/(MAX($AA$2:$AA$126)-MIN($AA$2:$AA$126))</f>
        <v>0.93153000845308542</v>
      </c>
      <c r="AT7" s="9">
        <f>(K7-MIN($K$2:$K$126))/(MAX($K$2:$K$126)-MIN($K$2:$K$126))</f>
        <v>0.60606060606060608</v>
      </c>
      <c r="AU7" s="9">
        <f>(L7-MIN($L$2:$L$126))/(MAX($L$2:$L$126)-MIN($L$2:$L$126))</f>
        <v>3.8272279934390375E-3</v>
      </c>
      <c r="AV7" s="8">
        <f>(AI7*(Tablero!$B$5/100)+AJ7*(Tablero!$B$6/100))*(Tablero!$B$4/100)</f>
        <v>9.9158660221377634E-2</v>
      </c>
      <c r="AW7" s="8">
        <f>(AK7*(Tablero!$B$8/100))*(Tablero!$B$7/100)</f>
        <v>7.7569410618606907E-2</v>
      </c>
      <c r="AX7" s="8">
        <f>(AL7*(Tablero!$B$10/100)+AM7*(Tablero!$B$11/100)+AN7*(Tablero!$B$12/100)+AO7*(Tablero!$B$13/100)+AP7*(Tablero!$B$14/100))*(Tablero!$B$9/100)</f>
        <v>0.11062766437980927</v>
      </c>
      <c r="AY7" s="8">
        <f>(AQ7*(Tablero!$B$16/100)+AR7*(Tablero!$B$17/100)+AS7*(Tablero!$B$18/100))*(Tablero!$B$15/100)</f>
        <v>0.19689936132243824</v>
      </c>
      <c r="AZ7" s="8">
        <f>(AT7*(Tablero!$B$20/100)+AU7*(Tablero!$B$21/100))*(Tablero!$B$19/100)</f>
        <v>1.5247195851351128E-2</v>
      </c>
    </row>
    <row r="8" spans="1:53" hidden="1" x14ac:dyDescent="0.4">
      <c r="B8" t="s">
        <v>53</v>
      </c>
      <c r="C8" t="s">
        <v>54</v>
      </c>
      <c r="D8" s="3">
        <v>19149</v>
      </c>
      <c r="E8" s="3">
        <v>229</v>
      </c>
      <c r="F8">
        <v>95</v>
      </c>
      <c r="G8">
        <v>33</v>
      </c>
      <c r="H8">
        <v>82.2</v>
      </c>
      <c r="I8">
        <v>58.5</v>
      </c>
      <c r="J8">
        <v>26</v>
      </c>
      <c r="K8">
        <v>0.11</v>
      </c>
      <c r="L8">
        <v>118</v>
      </c>
      <c r="M8">
        <v>1</v>
      </c>
      <c r="N8">
        <v>440.39193006999989</v>
      </c>
      <c r="O8" s="3">
        <v>7.73</v>
      </c>
      <c r="P8">
        <v>57</v>
      </c>
      <c r="Q8">
        <v>72.742358078602621</v>
      </c>
      <c r="R8">
        <v>55.46</v>
      </c>
      <c r="S8">
        <v>46.72</v>
      </c>
      <c r="T8">
        <v>62.45</v>
      </c>
      <c r="U8">
        <v>62.01</v>
      </c>
      <c r="V8" s="3">
        <v>210</v>
      </c>
      <c r="W8">
        <v>7</v>
      </c>
      <c r="X8">
        <v>7</v>
      </c>
      <c r="Y8">
        <v>0</v>
      </c>
      <c r="Z8">
        <v>0</v>
      </c>
      <c r="AA8" s="3">
        <v>36.6</v>
      </c>
      <c r="AC8">
        <v>52157.1</v>
      </c>
      <c r="AD8">
        <v>0.12</v>
      </c>
      <c r="AE8">
        <v>45.83</v>
      </c>
      <c r="AF8">
        <v>3.02</v>
      </c>
      <c r="AG8" s="10">
        <f t="shared" si="0"/>
        <v>0.50688394581639051</v>
      </c>
      <c r="AH8" t="s">
        <v>48</v>
      </c>
      <c r="AI8" s="9">
        <f>(G8-MIN($G$2:$G$126))/(MAX($G$2:$G$126)-MIN($G$2:$G$126))</f>
        <v>0.6220657276995305</v>
      </c>
      <c r="AJ8" s="9">
        <f>(N8-MIN($N$2:$N$126))/(MAX($N$2:$N$126)-MIN($N$2:$N$126))</f>
        <v>9.2884224779415277E-3</v>
      </c>
      <c r="AK8" s="9">
        <f>(O8-MIN($O$2:$O$126))/(MAX($O$2:$O$126)-MIN($O$2:$O$126))</f>
        <v>0.37652216268874816</v>
      </c>
      <c r="AL8" s="9">
        <f>(S8-MIN($S$2:$S$126))/(MAX($S$2:$S$126)-MIN($S$2:$S$126))</f>
        <v>0.84241154562383602</v>
      </c>
      <c r="AM8" s="9">
        <f>(T8-MIN($T$2:$T$126))/(MAX($T$2:$T$126)-MIN($T$2:$T$126))</f>
        <v>0.62249747947573097</v>
      </c>
      <c r="AN8" s="9">
        <f>1-(AC8-MIN($AC$2:$AC$126))/(MAX($AC$2:$AC$126)-MIN($AC$2:$AC$126))</f>
        <v>0.62580690493720414</v>
      </c>
      <c r="AO8" s="9">
        <f>(AD8-MIN($AD$2:$AD$126))/(MAX($AD$2:$AD$126)-MIN($AD$2:$AD$126))</f>
        <v>7.1856287425149698E-2</v>
      </c>
      <c r="AP8" s="9">
        <f>1-(AE8-MIN($AE$2:$AE$126))/(MAX($AE$2:$AE$126)-MIN($AE$2:$AE$126))</f>
        <v>0.54170000000000007</v>
      </c>
      <c r="AQ8" s="9">
        <f>(V8-MIN($V$2:$V$126))/(MAX($V$2:$V$126)-MIN($V$2:$V$126))</f>
        <v>0.58333333333333337</v>
      </c>
      <c r="AR8" s="9">
        <f>1-(Y8-MIN($Y$2:$Y$126))/(MAX($Y$2:$Y$126)-MIN($Y$2:$Y$126))</f>
        <v>1</v>
      </c>
      <c r="AS8" s="9">
        <f>1-(AA8-MIN($AA$2:$AA$126))/(MAX($AA$2:$AA$126)-MIN($AA$2:$AA$126))</f>
        <v>0.75063398140321214</v>
      </c>
      <c r="AT8" s="9">
        <f>(K8-MIN($K$2:$K$126))/(MAX($K$2:$K$126)-MIN($K$2:$K$126))</f>
        <v>0.1818181818181818</v>
      </c>
      <c r="AU8" s="9">
        <f>(L8-MIN($L$2:$L$126))/(MAX($L$2:$L$126)-MIN($L$2:$L$126))</f>
        <v>1.530891197375615E-2</v>
      </c>
      <c r="AV8" s="8">
        <f>(AI8*(Tablero!$B$5/100)+AJ8*(Tablero!$B$6/100))*(Tablero!$B$4/100)</f>
        <v>9.4238701402723737E-2</v>
      </c>
      <c r="AW8" s="8">
        <f>(AK8*(Tablero!$B$8/100))*(Tablero!$B$7/100)</f>
        <v>9.4130540672187041E-2</v>
      </c>
      <c r="AX8" s="8">
        <f>(AL8*(Tablero!$B$10/100)+AM8*(Tablero!$B$11/100)+AN8*(Tablero!$B$12/100)+AO8*(Tablero!$B$13/100)+AP8*(Tablero!$B$14/100))*(Tablero!$B$9/100)</f>
        <v>0.11148734352826768</v>
      </c>
      <c r="AY8" s="8">
        <f>(AQ8*(Tablero!$B$16/100)+AR8*(Tablero!$B$17/100)+AS8*(Tablero!$B$18/100))*(Tablero!$B$15/100)</f>
        <v>0.20209918286841366</v>
      </c>
      <c r="AZ8" s="8">
        <f>(AT8*(Tablero!$B$20/100)+AU8*(Tablero!$B$21/100))*(Tablero!$B$19/100)</f>
        <v>4.9281773447984491E-3</v>
      </c>
    </row>
    <row r="9" spans="1:53" hidden="1" x14ac:dyDescent="0.4">
      <c r="B9" t="s">
        <v>55</v>
      </c>
      <c r="C9" t="s">
        <v>56</v>
      </c>
      <c r="D9" s="3">
        <v>5239</v>
      </c>
      <c r="E9" s="3">
        <v>49</v>
      </c>
      <c r="F9">
        <v>12</v>
      </c>
      <c r="G9">
        <v>25.2</v>
      </c>
      <c r="H9">
        <v>37.1</v>
      </c>
      <c r="I9">
        <v>75.5</v>
      </c>
      <c r="J9">
        <v>9</v>
      </c>
      <c r="K9">
        <v>0.18</v>
      </c>
      <c r="L9">
        <v>18</v>
      </c>
      <c r="M9">
        <v>0</v>
      </c>
      <c r="N9">
        <v>54.925702929999993</v>
      </c>
      <c r="O9" s="3">
        <v>9.15</v>
      </c>
      <c r="P9">
        <v>6</v>
      </c>
      <c r="Q9">
        <v>73.408163265306129</v>
      </c>
      <c r="R9">
        <v>53.06</v>
      </c>
      <c r="S9">
        <v>48.98</v>
      </c>
      <c r="T9">
        <v>77.55</v>
      </c>
      <c r="U9">
        <v>71.430000000000007</v>
      </c>
      <c r="V9" s="3">
        <v>225</v>
      </c>
      <c r="W9">
        <v>3</v>
      </c>
      <c r="X9">
        <v>3</v>
      </c>
      <c r="Y9">
        <v>0</v>
      </c>
      <c r="Z9">
        <v>0</v>
      </c>
      <c r="AA9" s="3">
        <v>57.3</v>
      </c>
      <c r="AB9">
        <v>20</v>
      </c>
      <c r="AC9">
        <v>47054.63</v>
      </c>
      <c r="AD9">
        <v>0.1</v>
      </c>
      <c r="AE9">
        <v>50</v>
      </c>
      <c r="AF9">
        <v>5.46</v>
      </c>
      <c r="AG9" s="10">
        <f t="shared" si="0"/>
        <v>0.51221637851822266</v>
      </c>
      <c r="AH9" t="s">
        <v>41</v>
      </c>
      <c r="AI9" s="9">
        <f>(G9-MIN($G$2:$G$126))/(MAX($G$2:$G$126)-MIN($G$2:$G$126))</f>
        <v>0.43896713615023469</v>
      </c>
      <c r="AJ9" s="9">
        <f>(N9-MIN($N$2:$N$126))/(MAX($N$2:$N$126)-MIN($N$2:$N$126))</f>
        <v>1.1584525030480445E-3</v>
      </c>
      <c r="AK9" s="9">
        <f>(O9-MIN($O$2:$O$126))/(MAX($O$2:$O$126)-MIN($O$2:$O$126))</f>
        <v>0.44568923526546517</v>
      </c>
      <c r="AL9" s="9">
        <f>(S9-MIN($S$2:$S$126))/(MAX($S$2:$S$126)-MIN($S$2:$S$126))</f>
        <v>0.89501862197392912</v>
      </c>
      <c r="AM9" s="9">
        <f>(T9-MIN($T$2:$T$126))/(MAX($T$2:$T$126)-MIN($T$2:$T$126))</f>
        <v>0.83998271640501221</v>
      </c>
      <c r="AN9" s="9">
        <f>1-(AC9-MIN($AC$2:$AC$126))/(MAX($AC$2:$AC$126)-MIN($AC$2:$AC$126))</f>
        <v>0.67776725496006596</v>
      </c>
      <c r="AO9" s="9">
        <f>(AD9-MIN($AD$2:$AD$126))/(MAX($AD$2:$AD$126)-MIN($AD$2:$AD$126))</f>
        <v>5.9880239520958091E-2</v>
      </c>
      <c r="AP9" s="9">
        <f>1-(AE9-MIN($AE$2:$AE$126))/(MAX($AE$2:$AE$126)-MIN($AE$2:$AE$126))</f>
        <v>0.5</v>
      </c>
      <c r="AQ9" s="9">
        <f>(V9-MIN($V$2:$V$126))/(MAX($V$2:$V$126)-MIN($V$2:$V$126))</f>
        <v>0.625</v>
      </c>
      <c r="AR9" s="9">
        <f>1-(Y9-MIN($Y$2:$Y$126))/(MAX($Y$2:$Y$126)-MIN($Y$2:$Y$126))</f>
        <v>1</v>
      </c>
      <c r="AS9" s="9">
        <f>1-(AA9-MIN($AA$2:$AA$126))/(MAX($AA$2:$AA$126)-MIN($AA$2:$AA$126))</f>
        <v>0.5756551141166526</v>
      </c>
      <c r="AT9" s="9">
        <f>(K9-MIN($K$2:$K$126))/(MAX($K$2:$K$126)-MIN($K$2:$K$126))</f>
        <v>0.39393939393939392</v>
      </c>
      <c r="AU9" s="9">
        <f>(L9-MIN($L$2:$L$126))/(MAX($L$2:$L$126)-MIN($L$2:$L$126))</f>
        <v>1.6402405686167304E-3</v>
      </c>
      <c r="AV9" s="8">
        <f>(AI9*(Tablero!$B$5/100)+AJ9*(Tablero!$B$6/100))*(Tablero!$B$4/100)</f>
        <v>6.5960915672840015E-2</v>
      </c>
      <c r="AW9" s="8">
        <f>(AK9*(Tablero!$B$8/100))*(Tablero!$B$7/100)</f>
        <v>0.11142230881636629</v>
      </c>
      <c r="AX9" s="8">
        <f>(AL9*(Tablero!$B$10/100)+AM9*(Tablero!$B$11/100)+AN9*(Tablero!$B$12/100)+AO9*(Tablero!$B$13/100)+AP9*(Tablero!$B$14/100))*(Tablero!$B$9/100)</f>
        <v>0.1230522853133998</v>
      </c>
      <c r="AY9" s="8">
        <f>(AQ9*(Tablero!$B$16/100)+AR9*(Tablero!$B$17/100)+AS9*(Tablero!$B$18/100))*(Tablero!$B$15/100)</f>
        <v>0.2018913778529163</v>
      </c>
      <c r="AZ9" s="8">
        <f>(AT9*(Tablero!$B$20/100)+AU9*(Tablero!$B$21/100))*(Tablero!$B$19/100)</f>
        <v>9.8894908627002662E-3</v>
      </c>
    </row>
    <row r="10" spans="1:53" hidden="1" x14ac:dyDescent="0.4">
      <c r="B10" t="s">
        <v>57</v>
      </c>
      <c r="C10" t="s">
        <v>58</v>
      </c>
      <c r="D10" s="3">
        <v>5994</v>
      </c>
      <c r="E10" s="3">
        <v>86</v>
      </c>
      <c r="F10">
        <v>13</v>
      </c>
      <c r="G10">
        <v>39.700000000000003</v>
      </c>
      <c r="H10">
        <v>36</v>
      </c>
      <c r="I10">
        <v>84.9</v>
      </c>
      <c r="J10">
        <v>13</v>
      </c>
      <c r="K10">
        <v>0.15</v>
      </c>
      <c r="L10">
        <v>35</v>
      </c>
      <c r="M10">
        <v>1</v>
      </c>
      <c r="N10">
        <v>9.0042852299999936</v>
      </c>
      <c r="O10" s="3">
        <v>3</v>
      </c>
      <c r="P10">
        <v>3</v>
      </c>
      <c r="Q10">
        <v>74.139534883720927</v>
      </c>
      <c r="R10">
        <v>52.33</v>
      </c>
      <c r="S10">
        <v>39.53</v>
      </c>
      <c r="T10">
        <v>55.81</v>
      </c>
      <c r="U10">
        <v>47.67</v>
      </c>
      <c r="V10" s="3">
        <v>195</v>
      </c>
      <c r="W10">
        <v>1</v>
      </c>
      <c r="X10">
        <v>1</v>
      </c>
      <c r="Y10">
        <v>0</v>
      </c>
      <c r="Z10">
        <v>0</v>
      </c>
      <c r="AA10" s="3">
        <v>16.7</v>
      </c>
      <c r="AC10">
        <v>52157.1</v>
      </c>
      <c r="AD10">
        <v>0.12</v>
      </c>
      <c r="AE10">
        <v>45.83</v>
      </c>
      <c r="AF10">
        <v>3.02</v>
      </c>
      <c r="AG10" s="10">
        <f t="shared" si="0"/>
        <v>0.46566697595477208</v>
      </c>
      <c r="AH10" t="s">
        <v>48</v>
      </c>
      <c r="AI10" s="9">
        <f>(G10-MIN($G$2:$G$126))/(MAX($G$2:$G$126)-MIN($G$2:$G$126))</f>
        <v>0.77934272300469487</v>
      </c>
      <c r="AJ10" s="9">
        <f>(N10-MIN($N$2:$N$126))/(MAX($N$2:$N$126)-MIN($N$2:$N$126))</f>
        <v>1.8991175727228935E-4</v>
      </c>
      <c r="AK10" s="9">
        <f>(O10-MIN($O$2:$O$126))/(MAX($O$2:$O$126)-MIN($O$2:$O$126))</f>
        <v>0.14612761811982464</v>
      </c>
      <c r="AL10" s="9">
        <f>(S10-MIN($S$2:$S$126))/(MAX($S$2:$S$126)-MIN($S$2:$S$126))</f>
        <v>0.67504655493482313</v>
      </c>
      <c r="AM10" s="9">
        <f>(T10-MIN($T$2:$T$126))/(MAX($T$2:$T$126)-MIN($T$2:$T$126))</f>
        <v>0.52686158721013976</v>
      </c>
      <c r="AN10" s="9">
        <f>1-(AC10-MIN($AC$2:$AC$126))/(MAX($AC$2:$AC$126)-MIN($AC$2:$AC$126))</f>
        <v>0.62580690493720414</v>
      </c>
      <c r="AO10" s="9">
        <f>(AD10-MIN($AD$2:$AD$126))/(MAX($AD$2:$AD$126)-MIN($AD$2:$AD$126))</f>
        <v>7.1856287425149698E-2</v>
      </c>
      <c r="AP10" s="9">
        <f>1-(AE10-MIN($AE$2:$AE$126))/(MAX($AE$2:$AE$126)-MIN($AE$2:$AE$126))</f>
        <v>0.54170000000000007</v>
      </c>
      <c r="AQ10" s="9">
        <f>(V10-MIN($V$2:$V$126))/(MAX($V$2:$V$126)-MIN($V$2:$V$126))</f>
        <v>0.54166666666666663</v>
      </c>
      <c r="AR10" s="9">
        <f>1-(Y10-MIN($Y$2:$Y$126))/(MAX($Y$2:$Y$126)-MIN($Y$2:$Y$126))</f>
        <v>1</v>
      </c>
      <c r="AS10" s="9">
        <f>1-(AA10-MIN($AA$2:$AA$126))/(MAX($AA$2:$AA$126)-MIN($AA$2:$AA$126))</f>
        <v>0.91885038038884193</v>
      </c>
      <c r="AT10" s="9">
        <f>(K10-MIN($K$2:$K$126))/(MAX($K$2:$K$126)-MIN($K$2:$K$126))</f>
        <v>0.30303030303030298</v>
      </c>
      <c r="AU10" s="9">
        <f>(L10-MIN($L$2:$L$126))/(MAX($L$2:$L$126)-MIN($L$2:$L$126))</f>
        <v>3.9639147074904315E-3</v>
      </c>
      <c r="AV10" s="8">
        <f>(AI10*(Tablero!$B$5/100)+AJ10*(Tablero!$B$6/100))*(Tablero!$B$4/100)</f>
        <v>0.11692039962643146</v>
      </c>
      <c r="AW10" s="8">
        <f>(AK10*(Tablero!$B$8/100))*(Tablero!$B$7/100)</f>
        <v>3.6531904529956159E-2</v>
      </c>
      <c r="AX10" s="8">
        <f>(AL10*(Tablero!$B$10/100)+AM10*(Tablero!$B$11/100)+AN10*(Tablero!$B$12/100)+AO10*(Tablero!$B$13/100)+AP10*(Tablero!$B$14/100))*(Tablero!$B$9/100)</f>
        <v>0.10240189017855195</v>
      </c>
      <c r="AY10" s="8">
        <f>(AQ10*(Tablero!$B$16/100)+AR10*(Tablero!$B$17/100)+AS10*(Tablero!$B$18/100))*(Tablero!$B$15/100)</f>
        <v>0.20213792617638771</v>
      </c>
      <c r="AZ10" s="8">
        <f>(AT10*(Tablero!$B$20/100)+AU10*(Tablero!$B$21/100))*(Tablero!$B$19/100)</f>
        <v>7.6748554434448351E-3</v>
      </c>
    </row>
    <row r="11" spans="1:53" hidden="1" x14ac:dyDescent="0.4">
      <c r="B11" t="s">
        <v>59</v>
      </c>
      <c r="C11" t="s">
        <v>60</v>
      </c>
      <c r="D11" s="3">
        <v>4121</v>
      </c>
      <c r="E11" s="3">
        <v>52</v>
      </c>
      <c r="F11">
        <v>17</v>
      </c>
      <c r="G11">
        <v>34.4</v>
      </c>
      <c r="H11">
        <v>67.599999999999994</v>
      </c>
      <c r="I11">
        <v>67.3</v>
      </c>
      <c r="J11">
        <v>8</v>
      </c>
      <c r="K11">
        <v>0.15</v>
      </c>
      <c r="L11">
        <v>24</v>
      </c>
      <c r="M11">
        <v>2</v>
      </c>
      <c r="N11">
        <v>58.437689189999993</v>
      </c>
      <c r="O11" s="3">
        <v>6.49</v>
      </c>
      <c r="P11">
        <v>9</v>
      </c>
      <c r="Q11">
        <v>75.942307692307693</v>
      </c>
      <c r="R11">
        <v>48.08</v>
      </c>
      <c r="S11">
        <v>28.85</v>
      </c>
      <c r="T11">
        <v>67.31</v>
      </c>
      <c r="U11">
        <v>75</v>
      </c>
      <c r="V11" s="3">
        <v>275</v>
      </c>
      <c r="W11">
        <v>2</v>
      </c>
      <c r="X11">
        <v>2</v>
      </c>
      <c r="Y11">
        <v>0</v>
      </c>
      <c r="Z11">
        <v>0</v>
      </c>
      <c r="AA11" s="3">
        <v>48.5</v>
      </c>
      <c r="AC11">
        <v>52157.1</v>
      </c>
      <c r="AD11">
        <v>0.12</v>
      </c>
      <c r="AE11">
        <v>45.83</v>
      </c>
      <c r="AF11">
        <v>3.02</v>
      </c>
      <c r="AG11" s="10">
        <f t="shared" si="0"/>
        <v>0.51003847827182747</v>
      </c>
      <c r="AH11" t="s">
        <v>48</v>
      </c>
      <c r="AI11" s="9">
        <f>(G11-MIN($G$2:$G$126))/(MAX($G$2:$G$126)-MIN($G$2:$G$126))</f>
        <v>0.65492957746478864</v>
      </c>
      <c r="AJ11" s="9">
        <f>(N11-MIN($N$2:$N$126))/(MAX($N$2:$N$126)-MIN($N$2:$N$126))</f>
        <v>1.2325247325605626E-3</v>
      </c>
      <c r="AK11" s="9">
        <f>(O11-MIN($O$2:$O$126))/(MAX($O$2:$O$126)-MIN($O$2:$O$126))</f>
        <v>0.31612274719922062</v>
      </c>
      <c r="AL11" s="9">
        <f>(S11-MIN($S$2:$S$126))/(MAX($S$2:$S$126)-MIN($S$2:$S$126))</f>
        <v>0.42644320297951582</v>
      </c>
      <c r="AM11" s="9">
        <f>(T11-MIN($T$2:$T$126))/(MAX($T$2:$T$126)-MIN($T$2:$T$126))</f>
        <v>0.69249603917614866</v>
      </c>
      <c r="AN11" s="9">
        <f>1-(AC11-MIN($AC$2:$AC$126))/(MAX($AC$2:$AC$126)-MIN($AC$2:$AC$126))</f>
        <v>0.62580690493720414</v>
      </c>
      <c r="AO11" s="9">
        <f>(AD11-MIN($AD$2:$AD$126))/(MAX($AD$2:$AD$126)-MIN($AD$2:$AD$126))</f>
        <v>7.1856287425149698E-2</v>
      </c>
      <c r="AP11" s="9">
        <f>1-(AE11-MIN($AE$2:$AE$126))/(MAX($AE$2:$AE$126)-MIN($AE$2:$AE$126))</f>
        <v>0.54170000000000007</v>
      </c>
      <c r="AQ11" s="9">
        <f>(V11-MIN($V$2:$V$126))/(MAX($V$2:$V$126)-MIN($V$2:$V$126))</f>
        <v>0.76388888888888884</v>
      </c>
      <c r="AR11" s="9">
        <f>1-(Y11-MIN($Y$2:$Y$126))/(MAX($Y$2:$Y$126)-MIN($Y$2:$Y$126))</f>
        <v>1</v>
      </c>
      <c r="AS11" s="9">
        <f>1-(AA11-MIN($AA$2:$AA$126))/(MAX($AA$2:$AA$126)-MIN($AA$2:$AA$126))</f>
        <v>0.65004226542688093</v>
      </c>
      <c r="AT11" s="9">
        <f>(K11-MIN($K$2:$K$126))/(MAX($K$2:$K$126)-MIN($K$2:$K$126))</f>
        <v>0.30303030303030298</v>
      </c>
      <c r="AU11" s="9">
        <f>(L11-MIN($L$2:$L$126))/(MAX($L$2:$L$126)-MIN($L$2:$L$126))</f>
        <v>2.4603608529250955E-3</v>
      </c>
      <c r="AV11" s="8">
        <f>(AI11*(Tablero!$B$5/100)+AJ11*(Tablero!$B$6/100))*(Tablero!$B$4/100)</f>
        <v>9.836268909297434E-2</v>
      </c>
      <c r="AW11" s="8">
        <f>(AK11*(Tablero!$B$8/100))*(Tablero!$B$7/100)</f>
        <v>7.9030686799805155E-2</v>
      </c>
      <c r="AX11" s="8">
        <f>(AL11*(Tablero!$B$10/100)+AM11*(Tablero!$B$11/100)+AN11*(Tablero!$B$12/100)+AO11*(Tablero!$B$13/100)+AP11*(Tablero!$B$14/100))*(Tablero!$B$9/100)</f>
        <v>0.10736789025740633</v>
      </c>
      <c r="AY11" s="8">
        <f>(AQ11*(Tablero!$B$16/100)+AR11*(Tablero!$B$17/100)+AS11*(Tablero!$B$18/100))*(Tablero!$B$15/100)</f>
        <v>0.21763994552456092</v>
      </c>
      <c r="AZ11" s="8">
        <f>(AT11*(Tablero!$B$20/100)+AU11*(Tablero!$B$21/100))*(Tablero!$B$19/100)</f>
        <v>7.6372665970807028E-3</v>
      </c>
    </row>
    <row r="12" spans="1:53" hidden="1" x14ac:dyDescent="0.4">
      <c r="B12" t="s">
        <v>61</v>
      </c>
      <c r="C12" t="s">
        <v>62</v>
      </c>
      <c r="D12" s="3">
        <v>15936</v>
      </c>
      <c r="E12" s="3">
        <v>187</v>
      </c>
      <c r="F12">
        <v>74</v>
      </c>
      <c r="G12">
        <v>31.7</v>
      </c>
      <c r="H12">
        <v>75.3</v>
      </c>
      <c r="I12">
        <v>60.4</v>
      </c>
      <c r="J12">
        <v>44</v>
      </c>
      <c r="K12">
        <v>0.24</v>
      </c>
      <c r="L12">
        <v>102</v>
      </c>
      <c r="M12">
        <v>1</v>
      </c>
      <c r="N12">
        <v>241.72730745999991</v>
      </c>
      <c r="O12" s="3">
        <v>7.11</v>
      </c>
      <c r="P12">
        <v>34</v>
      </c>
      <c r="Q12">
        <v>72.133689839572199</v>
      </c>
      <c r="R12">
        <v>51.87</v>
      </c>
      <c r="S12">
        <v>37.43</v>
      </c>
      <c r="T12">
        <v>52.94</v>
      </c>
      <c r="U12">
        <v>50.27</v>
      </c>
      <c r="V12" s="3">
        <v>220</v>
      </c>
      <c r="W12">
        <v>5</v>
      </c>
      <c r="X12">
        <v>5</v>
      </c>
      <c r="Y12">
        <v>0</v>
      </c>
      <c r="Z12">
        <v>0</v>
      </c>
      <c r="AA12" s="3">
        <v>31.4</v>
      </c>
      <c r="AB12">
        <v>23</v>
      </c>
      <c r="AC12">
        <v>39447.449999999997</v>
      </c>
      <c r="AD12">
        <v>0.09</v>
      </c>
      <c r="AE12">
        <v>26.09</v>
      </c>
      <c r="AF12">
        <v>3.48</v>
      </c>
      <c r="AG12" s="10">
        <f t="shared" si="0"/>
        <v>0.513485991904581</v>
      </c>
      <c r="AH12" t="s">
        <v>41</v>
      </c>
      <c r="AI12" s="9">
        <f>(G12-MIN($G$2:$G$126))/(MAX($G$2:$G$126)-MIN($G$2:$G$126))</f>
        <v>0.59154929577464788</v>
      </c>
      <c r="AJ12" s="9">
        <f>(N12-MIN($N$2:$N$126))/(MAX($N$2:$N$126)-MIN($N$2:$N$126))</f>
        <v>5.0983344671798663E-3</v>
      </c>
      <c r="AK12" s="9">
        <f>(O12-MIN($O$2:$O$126))/(MAX($O$2:$O$126)-MIN($O$2:$O$126))</f>
        <v>0.34632245494398439</v>
      </c>
      <c r="AL12" s="9">
        <f>(S12-MIN($S$2:$S$126))/(MAX($S$2:$S$126)-MIN($S$2:$S$126))</f>
        <v>0.62616387337057722</v>
      </c>
      <c r="AM12" s="9">
        <f>(T12-MIN($T$2:$T$126))/(MAX($T$2:$T$126)-MIN($T$2:$T$126))</f>
        <v>0.48552498919775311</v>
      </c>
      <c r="AN12" s="9">
        <f>1-(AC12-MIN($AC$2:$AC$126))/(MAX($AC$2:$AC$126)-MIN($AC$2:$AC$126))</f>
        <v>0.75523399861302476</v>
      </c>
      <c r="AO12" s="9">
        <f>(AD12-MIN($AD$2:$AD$126))/(MAX($AD$2:$AD$126)-MIN($AD$2:$AD$126))</f>
        <v>5.3892215568862277E-2</v>
      </c>
      <c r="AP12" s="9">
        <f>1-(AE12-MIN($AE$2:$AE$126))/(MAX($AE$2:$AE$126)-MIN($AE$2:$AE$126))</f>
        <v>0.73909999999999998</v>
      </c>
      <c r="AQ12" s="9">
        <f>(V12-MIN($V$2:$V$126))/(MAX($V$2:$V$126)-MIN($V$2:$V$126))</f>
        <v>0.61111111111111116</v>
      </c>
      <c r="AR12" s="9">
        <f>1-(Y12-MIN($Y$2:$Y$126))/(MAX($Y$2:$Y$126)-MIN($Y$2:$Y$126))</f>
        <v>1</v>
      </c>
      <c r="AS12" s="9">
        <f>1-(AA12-MIN($AA$2:$AA$126))/(MAX($AA$2:$AA$126)-MIN($AA$2:$AA$126))</f>
        <v>0.79459002535925616</v>
      </c>
      <c r="AT12" s="9">
        <f>(K12-MIN($K$2:$K$126))/(MAX($K$2:$K$126)-MIN($K$2:$K$126))</f>
        <v>0.57575757575757569</v>
      </c>
      <c r="AU12" s="9">
        <f>(L12-MIN($L$2:$L$126))/(MAX($L$2:$L$126)-MIN($L$2:$L$126))</f>
        <v>1.3121924548933843E-2</v>
      </c>
      <c r="AV12" s="8">
        <f>(AI12*(Tablero!$B$5/100)+AJ12*(Tablero!$B$6/100))*(Tablero!$B$4/100)</f>
        <v>8.9242227812915159E-2</v>
      </c>
      <c r="AW12" s="8">
        <f>(AK12*(Tablero!$B$8/100))*(Tablero!$B$7/100)</f>
        <v>8.6580613735996098E-2</v>
      </c>
      <c r="AX12" s="8">
        <f>(AL12*(Tablero!$B$10/100)+AM12*(Tablero!$B$11/100)+AN12*(Tablero!$B$12/100)+AO12*(Tablero!$B$13/100)+AP12*(Tablero!$B$14/100))*(Tablero!$B$9/100)</f>
        <v>0.11696530110291446</v>
      </c>
      <c r="AY12" s="8">
        <f>(AQ12*(Tablero!$B$16/100)+AR12*(Tablero!$B$17/100)+AS12*(Tablero!$B$18/100))*(Tablero!$B$15/100)</f>
        <v>0.20597586174509253</v>
      </c>
      <c r="AZ12" s="8">
        <f>(AT12*(Tablero!$B$20/100)+AU12*(Tablero!$B$21/100))*(Tablero!$B$19/100)</f>
        <v>1.4721987507662737E-2</v>
      </c>
    </row>
    <row r="13" spans="1:53" hidden="1" x14ac:dyDescent="0.4">
      <c r="B13" t="s">
        <v>63</v>
      </c>
      <c r="C13" t="s">
        <v>64</v>
      </c>
      <c r="D13" s="3">
        <v>7709</v>
      </c>
      <c r="E13" s="3">
        <v>108</v>
      </c>
      <c r="F13">
        <v>48</v>
      </c>
      <c r="G13">
        <v>38.799999999999997</v>
      </c>
      <c r="H13">
        <v>103.5</v>
      </c>
      <c r="I13">
        <v>55.6</v>
      </c>
      <c r="J13">
        <v>32</v>
      </c>
      <c r="K13">
        <v>0.3</v>
      </c>
      <c r="L13">
        <v>57</v>
      </c>
      <c r="M13">
        <v>1</v>
      </c>
      <c r="N13">
        <v>188.10697053000001</v>
      </c>
      <c r="O13" s="3">
        <v>7.23</v>
      </c>
      <c r="P13">
        <v>26</v>
      </c>
      <c r="Q13">
        <v>70.759259259259252</v>
      </c>
      <c r="R13">
        <v>46.3</v>
      </c>
      <c r="S13">
        <v>40.74</v>
      </c>
      <c r="T13">
        <v>28.7</v>
      </c>
      <c r="U13">
        <v>52.78</v>
      </c>
      <c r="V13" s="3">
        <v>180</v>
      </c>
      <c r="W13">
        <v>3</v>
      </c>
      <c r="X13">
        <v>3</v>
      </c>
      <c r="Y13">
        <v>0</v>
      </c>
      <c r="Z13">
        <v>0</v>
      </c>
      <c r="AA13" s="3">
        <v>38.9</v>
      </c>
      <c r="AC13">
        <v>52157.1</v>
      </c>
      <c r="AD13">
        <v>0.12</v>
      </c>
      <c r="AE13">
        <v>45.83</v>
      </c>
      <c r="AF13">
        <v>3.02</v>
      </c>
      <c r="AG13" s="10">
        <f t="shared" si="0"/>
        <v>0.49410178417146872</v>
      </c>
      <c r="AH13" t="s">
        <v>48</v>
      </c>
      <c r="AI13" s="9">
        <f>(G13-MIN($G$2:$G$126))/(MAX($G$2:$G$126)-MIN($G$2:$G$126))</f>
        <v>0.75821596244131451</v>
      </c>
      <c r="AJ13" s="9">
        <f>(N13-MIN($N$2:$N$126))/(MAX($N$2:$N$126)-MIN($N$2:$N$126))</f>
        <v>3.9674137831059216E-3</v>
      </c>
      <c r="AK13" s="9">
        <f>(O13-MIN($O$2:$O$126))/(MAX($O$2:$O$126)-MIN($O$2:$O$126))</f>
        <v>0.35216755966877739</v>
      </c>
      <c r="AL13" s="9">
        <f>(S13-MIN($S$2:$S$126))/(MAX($S$2:$S$126)-MIN($S$2:$S$126))</f>
        <v>0.70321229050279332</v>
      </c>
      <c r="AM13" s="9">
        <f>(T13-MIN($T$2:$T$126))/(MAX($T$2:$T$126)-MIN($T$2:$T$126))</f>
        <v>0.13639637044505257</v>
      </c>
      <c r="AN13" s="9">
        <f>1-(AC13-MIN($AC$2:$AC$126))/(MAX($AC$2:$AC$126)-MIN($AC$2:$AC$126))</f>
        <v>0.62580690493720414</v>
      </c>
      <c r="AO13" s="9">
        <f>(AD13-MIN($AD$2:$AD$126))/(MAX($AD$2:$AD$126)-MIN($AD$2:$AD$126))</f>
        <v>7.1856287425149698E-2</v>
      </c>
      <c r="AP13" s="9">
        <f>1-(AE13-MIN($AE$2:$AE$126))/(MAX($AE$2:$AE$126)-MIN($AE$2:$AE$126))</f>
        <v>0.54170000000000007</v>
      </c>
      <c r="AQ13" s="9">
        <f>(V13-MIN($V$2:$V$126))/(MAX($V$2:$V$126)-MIN($V$2:$V$126))</f>
        <v>0.5</v>
      </c>
      <c r="AR13" s="9">
        <f>1-(Y13-MIN($Y$2:$Y$126))/(MAX($Y$2:$Y$126)-MIN($Y$2:$Y$126))</f>
        <v>1</v>
      </c>
      <c r="AS13" s="9">
        <f>1-(AA13-MIN($AA$2:$AA$126))/(MAX($AA$2:$AA$126)-MIN($AA$2:$AA$126))</f>
        <v>0.731191885038039</v>
      </c>
      <c r="AT13" s="9">
        <f>(K13-MIN($K$2:$K$126))/(MAX($K$2:$K$126)-MIN($K$2:$K$126))</f>
        <v>0.75757575757575757</v>
      </c>
      <c r="AU13" s="9">
        <f>(L13-MIN($L$2:$L$126))/(MAX($L$2:$L$126)-MIN($L$2:$L$126))</f>
        <v>6.9710224166211043E-3</v>
      </c>
      <c r="AV13" s="8">
        <f>(AI13*(Tablero!$B$5/100)+AJ13*(Tablero!$B$6/100))*(Tablero!$B$4/100)</f>
        <v>0.11412913574450777</v>
      </c>
      <c r="AW13" s="8">
        <f>(AK13*(Tablero!$B$8/100))*(Tablero!$B$7/100)</f>
        <v>8.8041889917194346E-2</v>
      </c>
      <c r="AX13" s="8">
        <f>(AL13*(Tablero!$B$10/100)+AM13*(Tablero!$B$11/100)+AN13*(Tablero!$B$12/100)+AO13*(Tablero!$B$13/100)+AP13*(Tablero!$B$14/100))*(Tablero!$B$9/100)</f>
        <v>7.9537291884006114E-2</v>
      </c>
      <c r="AY13" s="8">
        <f>(AQ13*(Tablero!$B$16/100)+AR13*(Tablero!$B$17/100)+AS13*(Tablero!$B$18/100))*(Tablero!$B$15/100)</f>
        <v>0.19327979712595098</v>
      </c>
      <c r="AZ13" s="8">
        <f>(AT13*(Tablero!$B$20/100)+AU13*(Tablero!$B$21/100))*(Tablero!$B$19/100)</f>
        <v>1.9113669499809468E-2</v>
      </c>
    </row>
    <row r="14" spans="1:53" hidden="1" x14ac:dyDescent="0.4">
      <c r="B14" t="s">
        <v>65</v>
      </c>
      <c r="C14" t="s">
        <v>66</v>
      </c>
      <c r="D14" s="3">
        <v>4355</v>
      </c>
      <c r="E14" s="3">
        <v>49</v>
      </c>
      <c r="F14">
        <v>20</v>
      </c>
      <c r="G14">
        <v>32.1</v>
      </c>
      <c r="H14">
        <v>78.599999999999994</v>
      </c>
      <c r="I14">
        <v>59.2</v>
      </c>
      <c r="J14">
        <v>16</v>
      </c>
      <c r="K14">
        <v>0.33</v>
      </c>
      <c r="L14">
        <v>19</v>
      </c>
      <c r="M14">
        <v>3</v>
      </c>
      <c r="N14">
        <v>62.061831140000002</v>
      </c>
      <c r="O14" s="3">
        <v>5.64</v>
      </c>
      <c r="P14">
        <v>11</v>
      </c>
      <c r="Q14">
        <v>75.428571428571431</v>
      </c>
      <c r="R14">
        <v>57.14</v>
      </c>
      <c r="S14">
        <v>48.98</v>
      </c>
      <c r="T14">
        <v>57.14</v>
      </c>
      <c r="U14">
        <v>59.18</v>
      </c>
      <c r="V14" s="3">
        <v>190</v>
      </c>
      <c r="W14">
        <v>2</v>
      </c>
      <c r="X14">
        <v>2</v>
      </c>
      <c r="Y14">
        <v>0</v>
      </c>
      <c r="Z14">
        <v>0</v>
      </c>
      <c r="AA14" s="3">
        <v>45.9</v>
      </c>
      <c r="AB14">
        <v>40</v>
      </c>
      <c r="AC14">
        <v>57894.95</v>
      </c>
      <c r="AD14">
        <v>0.1</v>
      </c>
      <c r="AE14">
        <v>32.5</v>
      </c>
      <c r="AF14">
        <v>4.07</v>
      </c>
      <c r="AG14" s="10">
        <f t="shared" si="0"/>
        <v>0.49199310760027842</v>
      </c>
      <c r="AH14" t="s">
        <v>41</v>
      </c>
      <c r="AI14" s="9">
        <f>(G14-MIN($G$2:$G$126))/(MAX($G$2:$G$126)-MIN($G$2:$G$126))</f>
        <v>0.60093896713615025</v>
      </c>
      <c r="AJ14" s="9">
        <f>(N14-MIN($N$2:$N$126))/(MAX($N$2:$N$126)-MIN($N$2:$N$126))</f>
        <v>1.3089624673443955E-3</v>
      </c>
      <c r="AK14" s="9">
        <f>(O14-MIN($O$2:$O$126))/(MAX($O$2:$O$126)-MIN($O$2:$O$126))</f>
        <v>0.27471992206527029</v>
      </c>
      <c r="AL14" s="9">
        <f>(S14-MIN($S$2:$S$126))/(MAX($S$2:$S$126)-MIN($S$2:$S$126))</f>
        <v>0.89501862197392912</v>
      </c>
      <c r="AM14" s="9">
        <f>(T14-MIN($T$2:$T$126))/(MAX($T$2:$T$126)-MIN($T$2:$T$126))</f>
        <v>0.54601757165490428</v>
      </c>
      <c r="AN14" s="9">
        <f>1-(AC14-MIN($AC$2:$AC$126))/(MAX($AC$2:$AC$126)-MIN($AC$2:$AC$126))</f>
        <v>0.56737624402617937</v>
      </c>
      <c r="AO14" s="9">
        <f>(AD14-MIN($AD$2:$AD$126))/(MAX($AD$2:$AD$126)-MIN($AD$2:$AD$126))</f>
        <v>5.9880239520958091E-2</v>
      </c>
      <c r="AP14" s="9">
        <f>1-(AE14-MIN($AE$2:$AE$126))/(MAX($AE$2:$AE$126)-MIN($AE$2:$AE$126))</f>
        <v>0.67500000000000004</v>
      </c>
      <c r="AQ14" s="9">
        <f>(V14-MIN($V$2:$V$126))/(MAX($V$2:$V$126)-MIN($V$2:$V$126))</f>
        <v>0.52777777777777779</v>
      </c>
      <c r="AR14" s="9">
        <f>1-(Y14-MIN($Y$2:$Y$126))/(MAX($Y$2:$Y$126)-MIN($Y$2:$Y$126))</f>
        <v>1</v>
      </c>
      <c r="AS14" s="9">
        <f>1-(AA14-MIN($AA$2:$AA$126))/(MAX($AA$2:$AA$126)-MIN($AA$2:$AA$126))</f>
        <v>0.67202028740490283</v>
      </c>
      <c r="AT14" s="9">
        <f>(K14-MIN($K$2:$K$126))/(MAX($K$2:$K$126)-MIN($K$2:$K$126))</f>
        <v>0.84848484848484851</v>
      </c>
      <c r="AU14" s="9">
        <f>(L14-MIN($L$2:$L$126))/(MAX($L$2:$L$126)-MIN($L$2:$L$126))</f>
        <v>1.7769272826681246E-3</v>
      </c>
      <c r="AV14" s="8">
        <f>(AI14*(Tablero!$B$5/100)+AJ14*(Tablero!$B$6/100))*(Tablero!$B$4/100)</f>
        <v>9.0271741317156984E-2</v>
      </c>
      <c r="AW14" s="8">
        <f>(AK14*(Tablero!$B$8/100))*(Tablero!$B$7/100)</f>
        <v>6.8679980516317574E-2</v>
      </c>
      <c r="AX14" s="8">
        <f>(AL14*(Tablero!$B$10/100)+AM14*(Tablero!$B$11/100)+AN14*(Tablero!$B$12/100)+AO14*(Tablero!$B$13/100)+AP14*(Tablero!$B$14/100))*(Tablero!$B$9/100)</f>
        <v>0.11720655640971561</v>
      </c>
      <c r="AY14" s="8">
        <f>(AQ14*(Tablero!$B$16/100)+AR14*(Tablero!$B$17/100)+AS14*(Tablero!$B$18/100))*(Tablero!$B$15/100)</f>
        <v>0.19457828496290036</v>
      </c>
      <c r="AZ14" s="8">
        <f>(AT14*(Tablero!$B$20/100)+AU14*(Tablero!$B$21/100))*(Tablero!$B$19/100)</f>
        <v>2.1256544394187917E-2</v>
      </c>
    </row>
    <row r="15" spans="1:53" hidden="1" x14ac:dyDescent="0.4">
      <c r="B15" t="s">
        <v>67</v>
      </c>
      <c r="C15" t="s">
        <v>68</v>
      </c>
      <c r="D15" s="3">
        <v>9122</v>
      </c>
      <c r="E15" s="3">
        <v>117</v>
      </c>
      <c r="F15">
        <v>36</v>
      </c>
      <c r="G15">
        <v>36.200000000000003</v>
      </c>
      <c r="H15">
        <v>66.900000000000006</v>
      </c>
      <c r="I15">
        <v>69.2</v>
      </c>
      <c r="J15">
        <v>33</v>
      </c>
      <c r="K15">
        <v>0.28000000000000003</v>
      </c>
      <c r="L15">
        <v>54</v>
      </c>
      <c r="M15">
        <v>0</v>
      </c>
      <c r="N15">
        <v>134.89297053999999</v>
      </c>
      <c r="O15" s="3">
        <v>5.86</v>
      </c>
      <c r="P15">
        <v>23</v>
      </c>
      <c r="Q15">
        <v>73.726495726495727</v>
      </c>
      <c r="R15">
        <v>48.72</v>
      </c>
      <c r="S15">
        <v>38.46</v>
      </c>
      <c r="T15">
        <v>64.959999999999994</v>
      </c>
      <c r="U15">
        <v>63.25</v>
      </c>
      <c r="V15" s="3">
        <v>80</v>
      </c>
      <c r="W15">
        <v>3</v>
      </c>
      <c r="X15">
        <v>3</v>
      </c>
      <c r="Y15">
        <v>0</v>
      </c>
      <c r="Z15">
        <v>0</v>
      </c>
      <c r="AA15" s="3">
        <v>32.9</v>
      </c>
      <c r="AB15">
        <v>23</v>
      </c>
      <c r="AC15">
        <v>50833.81</v>
      </c>
      <c r="AD15">
        <v>0.04</v>
      </c>
      <c r="AE15">
        <v>43.48</v>
      </c>
      <c r="AF15">
        <v>1.53</v>
      </c>
      <c r="AG15" s="10">
        <f t="shared" si="0"/>
        <v>0.47158163093545719</v>
      </c>
      <c r="AH15" t="s">
        <v>41</v>
      </c>
      <c r="AI15" s="9">
        <f>(G15-MIN($G$2:$G$126))/(MAX($G$2:$G$126)-MIN($G$2:$G$126))</f>
        <v>0.69718309859154937</v>
      </c>
      <c r="AJ15" s="9">
        <f>(N15-MIN($N$2:$N$126))/(MAX($N$2:$N$126)-MIN($N$2:$N$126))</f>
        <v>2.8450632587224889E-3</v>
      </c>
      <c r="AK15" s="9">
        <f>(O15-MIN($O$2:$O$126))/(MAX($O$2:$O$126)-MIN($O$2:$O$126))</f>
        <v>0.28543594739405748</v>
      </c>
      <c r="AL15" s="9">
        <f>(S15-MIN($S$2:$S$126))/(MAX($S$2:$S$126)-MIN($S$2:$S$126))</f>
        <v>0.65013966480446927</v>
      </c>
      <c r="AM15" s="9">
        <f>(T15-MIN($T$2:$T$126))/(MAX($T$2:$T$126)-MIN($T$2:$T$126))</f>
        <v>0.65864899899179019</v>
      </c>
      <c r="AN15" s="9">
        <f>1-(AC15-MIN($AC$2:$AC$126))/(MAX($AC$2:$AC$126)-MIN($AC$2:$AC$126))</f>
        <v>0.6392824592435995</v>
      </c>
      <c r="AO15" s="9">
        <f>(AD15-MIN($AD$2:$AD$126))/(MAX($AD$2:$AD$126)-MIN($AD$2:$AD$126))</f>
        <v>2.3952095808383235E-2</v>
      </c>
      <c r="AP15" s="9">
        <f>1-(AE15-MIN($AE$2:$AE$126))/(MAX($AE$2:$AE$126)-MIN($AE$2:$AE$126))</f>
        <v>0.56520000000000004</v>
      </c>
      <c r="AQ15" s="9">
        <f>(V15-MIN($V$2:$V$126))/(MAX($V$2:$V$126)-MIN($V$2:$V$126))</f>
        <v>0.22222222222222221</v>
      </c>
      <c r="AR15" s="9">
        <f>1-(Y15-MIN($Y$2:$Y$126))/(MAX($Y$2:$Y$126)-MIN($Y$2:$Y$126))</f>
        <v>1</v>
      </c>
      <c r="AS15" s="9">
        <f>1-(AA15-MIN($AA$2:$AA$126))/(MAX($AA$2:$AA$126)-MIN($AA$2:$AA$126))</f>
        <v>0.78191039729501277</v>
      </c>
      <c r="AT15" s="9">
        <f>(K15-MIN($K$2:$K$126))/(MAX($K$2:$K$126)-MIN($K$2:$K$126))</f>
        <v>0.69696969696969702</v>
      </c>
      <c r="AU15" s="9">
        <f>(L15-MIN($L$2:$L$126))/(MAX($L$2:$L$126)-MIN($L$2:$L$126))</f>
        <v>6.5609622744669215E-3</v>
      </c>
      <c r="AV15" s="8">
        <f>(AI15*(Tablero!$B$5/100)+AJ15*(Tablero!$B$6/100))*(Tablero!$B$4/100)</f>
        <v>0.10486197111460466</v>
      </c>
      <c r="AW15" s="8">
        <f>(AK15*(Tablero!$B$8/100))*(Tablero!$B$7/100)</f>
        <v>7.1358986848514369E-2</v>
      </c>
      <c r="AX15" s="8">
        <f>(AL15*(Tablero!$B$10/100)+AM15*(Tablero!$B$11/100)+AN15*(Tablero!$B$12/100)+AO15*(Tablero!$B$13/100)+AP15*(Tablero!$B$14/100))*(Tablero!$B$9/100)</f>
        <v>0.11100242433663646</v>
      </c>
      <c r="AY15" s="8">
        <f>(AQ15*(Tablero!$B$16/100)+AR15*(Tablero!$B$17/100)+AS15*(Tablero!$B$18/100))*(Tablero!$B$15/100)</f>
        <v>0.16676998215459754</v>
      </c>
      <c r="AZ15" s="8">
        <f>(AT15*(Tablero!$B$20/100)+AU15*(Tablero!$B$21/100))*(Tablero!$B$19/100)</f>
        <v>1.7588266481104099E-2</v>
      </c>
    </row>
    <row r="16" spans="1:53" hidden="1" x14ac:dyDescent="0.4">
      <c r="B16" t="s">
        <v>69</v>
      </c>
      <c r="C16" t="s">
        <v>70</v>
      </c>
      <c r="D16" s="3">
        <v>5743</v>
      </c>
      <c r="E16" s="3">
        <v>47</v>
      </c>
      <c r="F16">
        <v>20</v>
      </c>
      <c r="G16">
        <v>22.8</v>
      </c>
      <c r="H16">
        <v>58.3</v>
      </c>
      <c r="I16">
        <v>57.4</v>
      </c>
      <c r="J16">
        <v>10</v>
      </c>
      <c r="K16">
        <v>0.21</v>
      </c>
      <c r="L16">
        <v>26</v>
      </c>
      <c r="M16">
        <v>0</v>
      </c>
      <c r="N16">
        <v>148.73878332000001</v>
      </c>
      <c r="O16" s="3">
        <v>8.75</v>
      </c>
      <c r="P16">
        <v>17</v>
      </c>
      <c r="Q16">
        <v>69.489361702127653</v>
      </c>
      <c r="R16">
        <v>46.81</v>
      </c>
      <c r="S16">
        <v>48.94</v>
      </c>
      <c r="T16">
        <v>59.57</v>
      </c>
      <c r="U16">
        <v>72.34</v>
      </c>
      <c r="V16" s="3">
        <v>195</v>
      </c>
      <c r="W16">
        <v>2</v>
      </c>
      <c r="X16">
        <v>2</v>
      </c>
      <c r="Y16">
        <v>0</v>
      </c>
      <c r="Z16">
        <v>0</v>
      </c>
      <c r="AA16" s="3">
        <v>34.799999999999997</v>
      </c>
      <c r="AB16">
        <v>93</v>
      </c>
      <c r="AC16">
        <v>41113.71</v>
      </c>
      <c r="AD16">
        <v>0.16</v>
      </c>
      <c r="AE16">
        <v>38.71</v>
      </c>
      <c r="AF16">
        <v>4.8499999999999996</v>
      </c>
      <c r="AG16" s="10">
        <f t="shared" si="0"/>
        <v>0.49321817011156294</v>
      </c>
      <c r="AH16" t="s">
        <v>41</v>
      </c>
      <c r="AI16" s="9">
        <f>(G16-MIN($G$2:$G$126))/(MAX($G$2:$G$126)-MIN($G$2:$G$126))</f>
        <v>0.38262910798122068</v>
      </c>
      <c r="AJ16" s="9">
        <f>(N16-MIN($N$2:$N$126))/(MAX($N$2:$N$126)-MIN($N$2:$N$126))</f>
        <v>3.1370889519060138E-3</v>
      </c>
      <c r="AK16" s="9">
        <f>(O16-MIN($O$2:$O$126))/(MAX($O$2:$O$126)-MIN($O$2:$O$126))</f>
        <v>0.42620555284948852</v>
      </c>
      <c r="AL16" s="9">
        <f>(S16-MIN($S$2:$S$126))/(MAX($S$2:$S$126)-MIN($S$2:$S$126))</f>
        <v>0.89408752327746732</v>
      </c>
      <c r="AM16" s="9">
        <f>(T16-MIN($T$2:$T$126))/(MAX($T$2:$T$126)-MIN($T$2:$T$126))</f>
        <v>0.58101685150511317</v>
      </c>
      <c r="AN16" s="9">
        <f>1-(AC16-MIN($AC$2:$AC$126))/(MAX($AC$2:$AC$126)-MIN($AC$2:$AC$126))</f>
        <v>0.73826585321891292</v>
      </c>
      <c r="AO16" s="9">
        <f>(AD16-MIN($AD$2:$AD$126))/(MAX($AD$2:$AD$126)-MIN($AD$2:$AD$126))</f>
        <v>9.580838323353294E-2</v>
      </c>
      <c r="AP16" s="9">
        <f>1-(AE16-MIN($AE$2:$AE$126))/(MAX($AE$2:$AE$126)-MIN($AE$2:$AE$126))</f>
        <v>0.6129</v>
      </c>
      <c r="AQ16" s="9">
        <f>(V16-MIN($V$2:$V$126))/(MAX($V$2:$V$126)-MIN($V$2:$V$126))</f>
        <v>0.54166666666666663</v>
      </c>
      <c r="AR16" s="9">
        <f>1-(Y16-MIN($Y$2:$Y$126))/(MAX($Y$2:$Y$126)-MIN($Y$2:$Y$126))</f>
        <v>1</v>
      </c>
      <c r="AS16" s="9">
        <f>1-(AA16-MIN($AA$2:$AA$126))/(MAX($AA$2:$AA$126)-MIN($AA$2:$AA$126))</f>
        <v>0.7658495350803044</v>
      </c>
      <c r="AT16" s="9">
        <f>(K16-MIN($K$2:$K$126))/(MAX($K$2:$K$126)-MIN($K$2:$K$126))</f>
        <v>0.48484848484848475</v>
      </c>
      <c r="AU16" s="9">
        <f>(L16-MIN($L$2:$L$126))/(MAX($L$2:$L$126)-MIN($L$2:$L$126))</f>
        <v>2.7337342810278839E-3</v>
      </c>
      <c r="AV16" s="8">
        <f>(AI16*(Tablero!$B$5/100)+AJ16*(Tablero!$B$6/100))*(Tablero!$B$4/100)</f>
        <v>5.7708075092373697E-2</v>
      </c>
      <c r="AW16" s="8">
        <f>(AK16*(Tablero!$B$8/100))*(Tablero!$B$7/100)</f>
        <v>0.10655138821237213</v>
      </c>
      <c r="AX16" s="8">
        <f>(AL16*(Tablero!$B$10/100)+AM16*(Tablero!$B$11/100)+AN16*(Tablero!$B$12/100)+AO16*(Tablero!$B$13/100)+AP16*(Tablero!$B$14/100))*(Tablero!$B$9/100)</f>
        <v>0.11845624628490506</v>
      </c>
      <c r="AY16" s="8">
        <f>(AQ16*(Tablero!$B$16/100)+AR16*(Tablero!$B$17/100)+AS16*(Tablero!$B$18/100))*(Tablero!$B$15/100)</f>
        <v>0.19831290504367427</v>
      </c>
      <c r="AZ16" s="8">
        <f>(AT16*(Tablero!$B$20/100)+AU16*(Tablero!$B$21/100))*(Tablero!$B$19/100)</f>
        <v>1.2189555478237817E-2</v>
      </c>
    </row>
    <row r="17" spans="2:52" x14ac:dyDescent="0.4">
      <c r="B17" t="s">
        <v>71</v>
      </c>
      <c r="C17" t="s">
        <v>72</v>
      </c>
      <c r="D17" s="3">
        <v>20792</v>
      </c>
      <c r="E17" s="3">
        <v>312</v>
      </c>
      <c r="F17">
        <v>124</v>
      </c>
      <c r="G17">
        <v>41.4</v>
      </c>
      <c r="H17">
        <v>98.8</v>
      </c>
      <c r="I17">
        <v>60.3</v>
      </c>
      <c r="J17">
        <v>83</v>
      </c>
      <c r="K17">
        <v>0.27</v>
      </c>
      <c r="L17">
        <v>162</v>
      </c>
      <c r="M17">
        <v>5</v>
      </c>
      <c r="N17">
        <v>485.7488522999999</v>
      </c>
      <c r="O17" s="3">
        <v>7.14</v>
      </c>
      <c r="P17">
        <v>68</v>
      </c>
      <c r="Q17">
        <v>69.810897435897431</v>
      </c>
      <c r="R17">
        <v>49.68</v>
      </c>
      <c r="S17">
        <v>36.22</v>
      </c>
      <c r="T17">
        <v>28.21</v>
      </c>
      <c r="U17">
        <v>37.82</v>
      </c>
      <c r="V17" s="3">
        <v>270</v>
      </c>
      <c r="W17">
        <v>7</v>
      </c>
      <c r="X17">
        <v>6</v>
      </c>
      <c r="Y17">
        <v>1</v>
      </c>
      <c r="Z17">
        <v>0</v>
      </c>
      <c r="AA17" s="3">
        <v>33.700000000000003</v>
      </c>
      <c r="AB17">
        <v>18</v>
      </c>
      <c r="AC17">
        <v>35350.660000000003</v>
      </c>
      <c r="AD17">
        <v>0</v>
      </c>
      <c r="AE17">
        <v>38.89</v>
      </c>
      <c r="AF17">
        <v>0.83</v>
      </c>
      <c r="AG17" s="10">
        <f>AV17+AW17+AX17+AY17+AZ17</f>
        <v>0.53068148180564612</v>
      </c>
      <c r="AH17" t="s">
        <v>41</v>
      </c>
      <c r="AI17" s="9">
        <f>(G17-MIN($G$2:$G$126))/(MAX($G$2:$G$126)-MIN($G$2:$G$126))</f>
        <v>0.81924882629107976</v>
      </c>
      <c r="AJ17" s="9">
        <f>(N17-MIN($N$2:$N$126))/(MAX($N$2:$N$126)-MIN($N$2:$N$126))</f>
        <v>1.024505730071045E-2</v>
      </c>
      <c r="AK17" s="9">
        <f>(O17-MIN($O$2:$O$126))/(MAX($O$2:$O$126)-MIN($O$2:$O$126))</f>
        <v>0.34778373112518263</v>
      </c>
      <c r="AL17" s="9">
        <f>(S17-MIN($S$2:$S$126))/(MAX($S$2:$S$126)-MIN($S$2:$S$126))</f>
        <v>0.59799813780260702</v>
      </c>
      <c r="AM17" s="9">
        <f>(T17-MIN($T$2:$T$126))/(MAX($T$2:$T$126)-MIN($T$2:$T$126))</f>
        <v>0.12933890249171831</v>
      </c>
      <c r="AN17" s="9">
        <f>1-(AC17-MIN($AC$2:$AC$126))/(MAX($AC$2:$AC$126)-MIN($AC$2:$AC$126))</f>
        <v>0.79695313510381427</v>
      </c>
      <c r="AO17" s="9">
        <f>(AD17-MIN($AD$2:$AD$126))/(MAX($AD$2:$AD$126)-MIN($AD$2:$AD$126))</f>
        <v>0</v>
      </c>
      <c r="AP17" s="9">
        <f>1-(AE17-MIN($AE$2:$AE$126))/(MAX($AE$2:$AE$126)-MIN($AE$2:$AE$126))</f>
        <v>0.61109999999999998</v>
      </c>
      <c r="AQ17" s="9">
        <f>(V17-MIN($V$2:$V$126))/(MAX($V$2:$V$126)-MIN($V$2:$V$126))</f>
        <v>0.75</v>
      </c>
      <c r="AR17" s="9">
        <f>1-(Y17-MIN($Y$2:$Y$126))/(MAX($Y$2:$Y$126)-MIN($Y$2:$Y$126))</f>
        <v>0.98958333333333337</v>
      </c>
      <c r="AS17" s="9">
        <f>1-(AA17-MIN($AA$2:$AA$126))/(MAX($AA$2:$AA$126)-MIN($AA$2:$AA$126))</f>
        <v>0.7751479289940828</v>
      </c>
      <c r="AT17" s="9">
        <f>(K17-MIN($K$2:$K$126))/(MAX($K$2:$K$126)-MIN($K$2:$K$126))</f>
        <v>0.66666666666666674</v>
      </c>
      <c r="AU17" s="9">
        <f>(L17-MIN($L$2:$L$126))/(MAX($L$2:$L$126)-MIN($L$2:$L$126))</f>
        <v>2.1323127392017496E-2</v>
      </c>
      <c r="AV17" s="8">
        <f>(AI17*(Tablero!$B$5/100)+AJ17*(Tablero!$B$6/100))*(Tablero!$B$4/100)</f>
        <v>0.123911829673733</v>
      </c>
      <c r="AW17" s="8">
        <f>(AK17*(Tablero!$B$8/100))*(Tablero!$B$7/100)</f>
        <v>8.6945932781295657E-2</v>
      </c>
      <c r="AX17" s="8">
        <f>(AL17*(Tablero!$B$10/100)+AM17*(Tablero!$B$11/100)+AN17*(Tablero!$B$12/100)+AO17*(Tablero!$B$13/100)+AP17*(Tablero!$B$14/100))*(Tablero!$B$9/100)</f>
        <v>8.4547359607631531E-2</v>
      </c>
      <c r="AY17" s="8">
        <f>(AQ17*(Tablero!$B$16/100)+AR17*(Tablero!$B$17/100)+AS17*(Tablero!$B$18/100))*(Tablero!$B$15/100)</f>
        <v>0.21807661489151878</v>
      </c>
      <c r="AZ17" s="8">
        <f>(AT17*(Tablero!$B$20/100)+AU17*(Tablero!$B$21/100))*(Tablero!$B$19/100)</f>
        <v>1.7199744851467105E-2</v>
      </c>
    </row>
    <row r="18" spans="2:52" hidden="1" x14ac:dyDescent="0.4">
      <c r="B18" t="s">
        <v>73</v>
      </c>
      <c r="C18" t="s">
        <v>74</v>
      </c>
      <c r="D18" s="3">
        <v>6212</v>
      </c>
      <c r="E18" s="3">
        <v>54</v>
      </c>
      <c r="F18">
        <v>16</v>
      </c>
      <c r="G18">
        <v>24.5</v>
      </c>
      <c r="H18">
        <v>43.6</v>
      </c>
      <c r="I18">
        <v>70.400000000000006</v>
      </c>
      <c r="J18">
        <v>16</v>
      </c>
      <c r="K18">
        <v>0.3</v>
      </c>
      <c r="L18">
        <v>24</v>
      </c>
      <c r="M18">
        <v>1</v>
      </c>
      <c r="N18">
        <v>16.618764070000001</v>
      </c>
      <c r="O18" s="3">
        <v>2.77</v>
      </c>
      <c r="P18">
        <v>6</v>
      </c>
      <c r="Q18">
        <v>75.925925925925924</v>
      </c>
      <c r="R18">
        <v>42.59</v>
      </c>
      <c r="S18">
        <v>51.85</v>
      </c>
      <c r="T18">
        <v>61.11</v>
      </c>
      <c r="U18">
        <v>61.11</v>
      </c>
      <c r="V18" s="3">
        <v>285</v>
      </c>
      <c r="W18">
        <v>4</v>
      </c>
      <c r="X18">
        <v>4</v>
      </c>
      <c r="Y18">
        <v>0</v>
      </c>
      <c r="Z18">
        <v>0</v>
      </c>
      <c r="AA18" s="3">
        <v>64.400000000000006</v>
      </c>
      <c r="AB18">
        <v>21</v>
      </c>
      <c r="AC18">
        <v>35735.83</v>
      </c>
      <c r="AD18">
        <v>0.76</v>
      </c>
      <c r="AE18">
        <v>9.52</v>
      </c>
      <c r="AF18">
        <v>1.79</v>
      </c>
      <c r="AG18" s="10">
        <f>AV18+AW18+AX18+AY18+AZ18</f>
        <v>0.48597974226775503</v>
      </c>
      <c r="AH18" t="s">
        <v>41</v>
      </c>
      <c r="AI18" s="9">
        <f>(G18-MIN($G$2:$G$126))/(MAX($G$2:$G$126)-MIN($G$2:$G$126))</f>
        <v>0.42253521126760563</v>
      </c>
      <c r="AJ18" s="9">
        <f>(N18-MIN($N$2:$N$126))/(MAX($N$2:$N$126)-MIN($N$2:$N$126))</f>
        <v>3.5051074100939892E-4</v>
      </c>
      <c r="AK18" s="9">
        <f>(O18-MIN($O$2:$O$126))/(MAX($O$2:$O$126)-MIN($O$2:$O$126))</f>
        <v>0.13492450073063808</v>
      </c>
      <c r="AL18" s="9">
        <f>(S18-MIN($S$2:$S$126))/(MAX($S$2:$S$126)-MIN($S$2:$S$126))</f>
        <v>0.96182495344506513</v>
      </c>
      <c r="AM18" s="9">
        <f>(T18-MIN($T$2:$T$126))/(MAX($T$2:$T$126)-MIN($T$2:$T$126))</f>
        <v>0.60319746507273508</v>
      </c>
      <c r="AN18" s="9">
        <f>1-(AC18-MIN($AC$2:$AC$126))/(MAX($AC$2:$AC$126)-MIN($AC$2:$AC$126))</f>
        <v>0.79303080571857432</v>
      </c>
      <c r="AO18" s="9">
        <f>(AD18-MIN($AD$2:$AD$126))/(MAX($AD$2:$AD$126)-MIN($AD$2:$AD$126))</f>
        <v>0.45508982035928147</v>
      </c>
      <c r="AP18" s="9">
        <f>1-(AE18-MIN($AE$2:$AE$126))/(MAX($AE$2:$AE$126)-MIN($AE$2:$AE$126))</f>
        <v>0.90480000000000005</v>
      </c>
      <c r="AQ18" s="9">
        <f>(V18-MIN($V$2:$V$126))/(MAX($V$2:$V$126)-MIN($V$2:$V$126))</f>
        <v>0.79166666666666663</v>
      </c>
      <c r="AR18" s="9">
        <f>1-(Y18-MIN($Y$2:$Y$126))/(MAX($Y$2:$Y$126)-MIN($Y$2:$Y$126))</f>
        <v>1</v>
      </c>
      <c r="AS18" s="9">
        <f>1-(AA18-MIN($AA$2:$AA$126))/(MAX($AA$2:$AA$126)-MIN($AA$2:$AA$126))</f>
        <v>0.51563820794590032</v>
      </c>
      <c r="AT18" s="9">
        <f>(K18-MIN($K$2:$K$126))/(MAX($K$2:$K$126)-MIN($K$2:$K$126))</f>
        <v>0.75757575757575757</v>
      </c>
      <c r="AU18" s="9">
        <f>(L18-MIN($L$2:$L$126))/(MAX($L$2:$L$126)-MIN($L$2:$L$126))</f>
        <v>2.4603608529250955E-3</v>
      </c>
      <c r="AV18" s="8">
        <f>(AI18*(Tablero!$B$5/100)+AJ18*(Tablero!$B$6/100))*(Tablero!$B$4/100)</f>
        <v>6.3415332764241786E-2</v>
      </c>
      <c r="AW18" s="8">
        <f>(AK18*(Tablero!$B$8/100))*(Tablero!$B$7/100)</f>
        <v>3.373112518265952E-2</v>
      </c>
      <c r="AX18" s="8">
        <f>(AL18*(Tablero!$B$10/100)+AM18*(Tablero!$B$11/100)+AN18*(Tablero!$B$12/100)+AO18*(Tablero!$B$13/100)+AP18*(Tablero!$B$14/100))*(Tablero!$B$9/100)</f>
        <v>0.15277475949482255</v>
      </c>
      <c r="AY18" s="8">
        <f>(AQ18*(Tablero!$B$16/100)+AR18*(Tablero!$B$17/100)+AS18*(Tablero!$B$18/100))*(Tablero!$B$15/100)</f>
        <v>0.21705762186531416</v>
      </c>
      <c r="AZ18" s="8">
        <f>(AT18*(Tablero!$B$20/100)+AU18*(Tablero!$B$21/100))*(Tablero!$B$19/100)</f>
        <v>1.9000902960717068E-2</v>
      </c>
    </row>
    <row r="19" spans="2:52" hidden="1" x14ac:dyDescent="0.4">
      <c r="B19" t="s">
        <v>75</v>
      </c>
      <c r="C19" t="s">
        <v>76</v>
      </c>
      <c r="D19" s="3">
        <v>4515</v>
      </c>
      <c r="E19" s="3">
        <v>44</v>
      </c>
      <c r="F19">
        <v>4</v>
      </c>
      <c r="G19">
        <v>28.2</v>
      </c>
      <c r="H19">
        <v>15.4</v>
      </c>
      <c r="I19">
        <v>90.9</v>
      </c>
      <c r="J19">
        <v>5</v>
      </c>
      <c r="K19">
        <v>0.11</v>
      </c>
      <c r="L19">
        <v>25</v>
      </c>
      <c r="M19">
        <v>0</v>
      </c>
      <c r="N19">
        <v>31.509141219999989</v>
      </c>
      <c r="O19" s="3">
        <v>7.88</v>
      </c>
      <c r="P19">
        <v>4</v>
      </c>
      <c r="Q19">
        <v>73.227272727272734</v>
      </c>
      <c r="R19">
        <v>31.82</v>
      </c>
      <c r="S19">
        <v>31.82</v>
      </c>
      <c r="T19">
        <v>70.45</v>
      </c>
      <c r="U19">
        <v>68.180000000000007</v>
      </c>
      <c r="V19" s="3">
        <v>160</v>
      </c>
      <c r="W19">
        <v>2</v>
      </c>
      <c r="X19">
        <v>2</v>
      </c>
      <c r="Y19">
        <v>0</v>
      </c>
      <c r="Z19">
        <v>0</v>
      </c>
      <c r="AA19" s="3">
        <v>44.3</v>
      </c>
      <c r="AC19">
        <v>52157.1</v>
      </c>
      <c r="AD19">
        <v>0.12</v>
      </c>
      <c r="AE19">
        <v>45.83</v>
      </c>
      <c r="AF19">
        <v>3.02</v>
      </c>
      <c r="AG19" s="10">
        <f>AV19+AW19+AX19+AY19+AZ19</f>
        <v>0.47508959537859541</v>
      </c>
      <c r="AH19" t="s">
        <v>48</v>
      </c>
      <c r="AI19" s="9">
        <f>(G19-MIN($G$2:$G$126))/(MAX($G$2:$G$126)-MIN($G$2:$G$126))</f>
        <v>0.50938967136150226</v>
      </c>
      <c r="AJ19" s="9">
        <f>(N19-MIN($N$2:$N$126))/(MAX($N$2:$N$126)-MIN($N$2:$N$126))</f>
        <v>6.6456761712677657E-4</v>
      </c>
      <c r="AK19" s="9">
        <f>(O19-MIN($O$2:$O$126))/(MAX($O$2:$O$126)-MIN($O$2:$O$126))</f>
        <v>0.38382854359473939</v>
      </c>
      <c r="AL19" s="9">
        <f>(S19-MIN($S$2:$S$126))/(MAX($S$2:$S$126)-MIN($S$2:$S$126))</f>
        <v>0.49557728119180633</v>
      </c>
      <c r="AM19" s="9">
        <f>(T19-MIN($T$2:$T$126))/(MAX($T$2:$T$126)-MIN($T$2:$T$126))</f>
        <v>0.73772144606078072</v>
      </c>
      <c r="AN19" s="9">
        <f>1-(AC19-MIN($AC$2:$AC$126))/(MAX($AC$2:$AC$126)-MIN($AC$2:$AC$126))</f>
        <v>0.62580690493720414</v>
      </c>
      <c r="AO19" s="9">
        <f>(AD19-MIN($AD$2:$AD$126))/(MAX($AD$2:$AD$126)-MIN($AD$2:$AD$126))</f>
        <v>7.1856287425149698E-2</v>
      </c>
      <c r="AP19" s="9">
        <f>1-(AE19-MIN($AE$2:$AE$126))/(MAX($AE$2:$AE$126)-MIN($AE$2:$AE$126))</f>
        <v>0.54170000000000007</v>
      </c>
      <c r="AQ19" s="9">
        <f>(V19-MIN($V$2:$V$126))/(MAX($V$2:$V$126)-MIN($V$2:$V$126))</f>
        <v>0.44444444444444442</v>
      </c>
      <c r="AR19" s="9">
        <f>1-(Y19-MIN($Y$2:$Y$126))/(MAX($Y$2:$Y$126)-MIN($Y$2:$Y$126))</f>
        <v>1</v>
      </c>
      <c r="AS19" s="9">
        <f>1-(AA19-MIN($AA$2:$AA$126))/(MAX($AA$2:$AA$126)-MIN($AA$2:$AA$126))</f>
        <v>0.68554522400676254</v>
      </c>
      <c r="AT19" s="9">
        <f>(K19-MIN($K$2:$K$126))/(MAX($K$2:$K$126)-MIN($K$2:$K$126))</f>
        <v>0.1818181818181818</v>
      </c>
      <c r="AU19" s="9">
        <f>(L19-MIN($L$2:$L$126))/(MAX($L$2:$L$126)-MIN($L$2:$L$126))</f>
        <v>2.59704756697649E-3</v>
      </c>
      <c r="AV19" s="8">
        <f>(AI19*(Tablero!$B$5/100)+AJ19*(Tablero!$B$6/100))*(Tablero!$B$4/100)</f>
        <v>7.6474907465938005E-2</v>
      </c>
      <c r="AW19" s="8">
        <f>(AK19*(Tablero!$B$8/100))*(Tablero!$B$7/100)</f>
        <v>9.5957135898684848E-2</v>
      </c>
      <c r="AX19" s="8">
        <f>(AL19*(Tablero!$B$10/100)+AM19*(Tablero!$B$11/100)+AN19*(Tablero!$B$12/100)+AO19*(Tablero!$B$13/100)+AP19*(Tablero!$B$14/100))*(Tablero!$B$9/100)</f>
        <v>0.11146409623473007</v>
      </c>
      <c r="AY19" s="8">
        <f>(AQ19*(Tablero!$B$16/100)+AR19*(Tablero!$B$17/100)+AS19*(Tablero!$B$18/100))*(Tablero!$B$15/100)</f>
        <v>0.18658307504461352</v>
      </c>
      <c r="AZ19" s="8">
        <f>(AT19*(Tablero!$B$20/100)+AU19*(Tablero!$B$21/100))*(Tablero!$B$19/100)</f>
        <v>4.6103807346289574E-3</v>
      </c>
    </row>
    <row r="20" spans="2:52" hidden="1" x14ac:dyDescent="0.4">
      <c r="B20" t="s">
        <v>77</v>
      </c>
      <c r="C20" t="s">
        <v>78</v>
      </c>
      <c r="D20" s="3">
        <v>5390</v>
      </c>
      <c r="E20" s="3">
        <v>80</v>
      </c>
      <c r="F20">
        <v>42</v>
      </c>
      <c r="G20">
        <v>41</v>
      </c>
      <c r="H20">
        <v>129.1</v>
      </c>
      <c r="I20">
        <v>47.5</v>
      </c>
      <c r="J20">
        <v>16</v>
      </c>
      <c r="K20">
        <v>0.2</v>
      </c>
      <c r="L20">
        <v>35</v>
      </c>
      <c r="M20">
        <v>0</v>
      </c>
      <c r="N20">
        <v>45.292619569999992</v>
      </c>
      <c r="O20" s="3">
        <v>1.97</v>
      </c>
      <c r="P20">
        <v>23</v>
      </c>
      <c r="Q20">
        <v>74.625</v>
      </c>
      <c r="R20">
        <v>51.25</v>
      </c>
      <c r="S20">
        <v>46.25</v>
      </c>
      <c r="T20">
        <v>46.25</v>
      </c>
      <c r="U20">
        <v>51.25</v>
      </c>
      <c r="V20" s="3">
        <v>215</v>
      </c>
      <c r="W20">
        <v>3</v>
      </c>
      <c r="X20">
        <v>3</v>
      </c>
      <c r="Y20">
        <v>0</v>
      </c>
      <c r="Z20">
        <v>0</v>
      </c>
      <c r="AA20" s="3">
        <v>55.7</v>
      </c>
      <c r="AC20">
        <v>52157.1</v>
      </c>
      <c r="AD20">
        <v>0.12</v>
      </c>
      <c r="AE20">
        <v>45.83</v>
      </c>
      <c r="AF20">
        <v>3.02</v>
      </c>
      <c r="AG20" s="10">
        <f>AV20+AW20+AX20+AY20+AZ20</f>
        <v>0.4537469661899709</v>
      </c>
      <c r="AH20" t="s">
        <v>48</v>
      </c>
      <c r="AI20" s="9">
        <f>(G20-MIN($G$2:$G$126))/(MAX($G$2:$G$126)-MIN($G$2:$G$126))</f>
        <v>0.80985915492957739</v>
      </c>
      <c r="AJ20" s="9">
        <f>(N20-MIN($N$2:$N$126))/(MAX($N$2:$N$126)-MIN($N$2:$N$126))</f>
        <v>9.5527859838842393E-4</v>
      </c>
      <c r="AK20" s="9">
        <f>(O20-MIN($O$2:$O$126))/(MAX($O$2:$O$126)-MIN($O$2:$O$126))</f>
        <v>9.5957135898684848E-2</v>
      </c>
      <c r="AL20" s="9">
        <f>(S20-MIN($S$2:$S$126))/(MAX($S$2:$S$126)-MIN($S$2:$S$126))</f>
        <v>0.83147113594040967</v>
      </c>
      <c r="AM20" s="9">
        <f>(T20-MIN($T$2:$T$126))/(MAX($T$2:$T$126)-MIN($T$2:$T$126))</f>
        <v>0.38916894714100536</v>
      </c>
      <c r="AN20" s="9">
        <f>1-(AC20-MIN($AC$2:$AC$126))/(MAX($AC$2:$AC$126)-MIN($AC$2:$AC$126))</f>
        <v>0.62580690493720414</v>
      </c>
      <c r="AO20" s="9">
        <f>(AD20-MIN($AD$2:$AD$126))/(MAX($AD$2:$AD$126)-MIN($AD$2:$AD$126))</f>
        <v>7.1856287425149698E-2</v>
      </c>
      <c r="AP20" s="9">
        <f>1-(AE20-MIN($AE$2:$AE$126))/(MAX($AE$2:$AE$126)-MIN($AE$2:$AE$126))</f>
        <v>0.54170000000000007</v>
      </c>
      <c r="AQ20" s="9">
        <f>(V20-MIN($V$2:$V$126))/(MAX($V$2:$V$126)-MIN($V$2:$V$126))</f>
        <v>0.59722222222222221</v>
      </c>
      <c r="AR20" s="9">
        <f>1-(Y20-MIN($Y$2:$Y$126))/(MAX($Y$2:$Y$126)-MIN($Y$2:$Y$126))</f>
        <v>1</v>
      </c>
      <c r="AS20" s="9">
        <f>1-(AA20-MIN($AA$2:$AA$126))/(MAX($AA$2:$AA$126)-MIN($AA$2:$AA$126))</f>
        <v>0.58918005071851232</v>
      </c>
      <c r="AT20" s="9">
        <f>(K20-MIN($K$2:$K$126))/(MAX($K$2:$K$126)-MIN($K$2:$K$126))</f>
        <v>0.45454545454545459</v>
      </c>
      <c r="AU20" s="9">
        <f>(L20-MIN($L$2:$L$126))/(MAX($L$2:$L$126)-MIN($L$2:$L$126))</f>
        <v>3.9639147074904315E-3</v>
      </c>
      <c r="AV20" s="8">
        <f>(AI20*(Tablero!$B$5/100)+AJ20*(Tablero!$B$6/100))*(Tablero!$B$4/100)</f>
        <v>0.12157440109927543</v>
      </c>
      <c r="AW20" s="8">
        <f>(AK20*(Tablero!$B$8/100))*(Tablero!$B$7/100)</f>
        <v>2.3989283974671212E-2</v>
      </c>
      <c r="AX20" s="8">
        <f>(AL20*(Tablero!$B$10/100)+AM20*(Tablero!$B$11/100)+AN20*(Tablero!$B$12/100)+AO20*(Tablero!$B$13/100)+AP20*(Tablero!$B$14/100))*(Tablero!$B$9/100)</f>
        <v>9.7268823394515619E-2</v>
      </c>
      <c r="AY20" s="8">
        <f>(AQ20*(Tablero!$B$16/100)+AR20*(Tablero!$B$17/100)+AS20*(Tablero!$B$18/100))*(Tablero!$B$15/100)</f>
        <v>0.19945172349018503</v>
      </c>
      <c r="AZ20" s="8">
        <f>(AT20*(Tablero!$B$20/100)+AU20*(Tablero!$B$21/100))*(Tablero!$B$19/100)</f>
        <v>1.1462734231323626E-2</v>
      </c>
    </row>
    <row r="21" spans="2:52" hidden="1" x14ac:dyDescent="0.4">
      <c r="B21" t="s">
        <v>79</v>
      </c>
      <c r="C21" t="s">
        <v>80</v>
      </c>
      <c r="D21" s="3">
        <v>17388</v>
      </c>
      <c r="E21" s="3">
        <v>188</v>
      </c>
      <c r="F21">
        <v>55</v>
      </c>
      <c r="G21">
        <v>30.5</v>
      </c>
      <c r="H21">
        <v>53.5</v>
      </c>
      <c r="I21">
        <v>70.7</v>
      </c>
      <c r="J21">
        <v>30</v>
      </c>
      <c r="K21">
        <v>0.16</v>
      </c>
      <c r="L21">
        <v>97</v>
      </c>
      <c r="M21">
        <v>4</v>
      </c>
      <c r="N21">
        <v>206.6750185299999</v>
      </c>
      <c r="O21" s="3">
        <v>7.13</v>
      </c>
      <c r="P21">
        <v>29</v>
      </c>
      <c r="Q21">
        <v>70.920212765957444</v>
      </c>
      <c r="R21">
        <v>50.53</v>
      </c>
      <c r="S21">
        <v>39.89</v>
      </c>
      <c r="T21">
        <v>47.34</v>
      </c>
      <c r="U21">
        <v>60.64</v>
      </c>
      <c r="V21" s="3">
        <v>185</v>
      </c>
      <c r="W21">
        <v>10</v>
      </c>
      <c r="X21">
        <v>10</v>
      </c>
      <c r="Y21">
        <v>0</v>
      </c>
      <c r="Z21">
        <v>0</v>
      </c>
      <c r="AA21" s="3">
        <v>57.5</v>
      </c>
      <c r="AB21">
        <v>50</v>
      </c>
      <c r="AC21">
        <v>53030.07</v>
      </c>
      <c r="AD21">
        <v>0.66</v>
      </c>
      <c r="AE21">
        <v>30</v>
      </c>
      <c r="AF21">
        <v>3.06</v>
      </c>
      <c r="AG21" s="10">
        <f>AV21+AW21+AX21+AY21+AZ21</f>
        <v>0.48535255845118769</v>
      </c>
      <c r="AH21" t="s">
        <v>41</v>
      </c>
      <c r="AI21" s="9">
        <f>(G21-MIN($G$2:$G$126))/(MAX($G$2:$G$126)-MIN($G$2:$G$126))</f>
        <v>0.56338028169014087</v>
      </c>
      <c r="AJ21" s="9">
        <f>(N21-MIN($N$2:$N$126))/(MAX($N$2:$N$126)-MIN($N$2:$N$126))</f>
        <v>4.3590373861707703E-3</v>
      </c>
      <c r="AK21" s="9">
        <f>(O21-MIN($O$2:$O$126))/(MAX($O$2:$O$126)-MIN($O$2:$O$126))</f>
        <v>0.3472966390647832</v>
      </c>
      <c r="AL21" s="9">
        <f>(S21-MIN($S$2:$S$126))/(MAX($S$2:$S$126)-MIN($S$2:$S$126))</f>
        <v>0.68342644320297952</v>
      </c>
      <c r="AM21" s="9">
        <f>(T21-MIN($T$2:$T$126))/(MAX($T$2:$T$126)-MIN($T$2:$T$126))</f>
        <v>0.40486821258821842</v>
      </c>
      <c r="AN21" s="9">
        <f>1-(AC21-MIN($AC$2:$AC$126))/(MAX($AC$2:$AC$126)-MIN($AC$2:$AC$126))</f>
        <v>0.61691712670049581</v>
      </c>
      <c r="AO21" s="9">
        <f>(AD21-MIN($AD$2:$AD$126))/(MAX($AD$2:$AD$126)-MIN($AD$2:$AD$126))</f>
        <v>0.39520958083832342</v>
      </c>
      <c r="AP21" s="9">
        <f>1-(AE21-MIN($AE$2:$AE$126))/(MAX($AE$2:$AE$126)-MIN($AE$2:$AE$126))</f>
        <v>0.7</v>
      </c>
      <c r="AQ21" s="9">
        <f>(V21-MIN($V$2:$V$126))/(MAX($V$2:$V$126)-MIN($V$2:$V$126))</f>
        <v>0.51388888888888884</v>
      </c>
      <c r="AR21" s="9">
        <f>1-(Y21-MIN($Y$2:$Y$126))/(MAX($Y$2:$Y$126)-MIN($Y$2:$Y$126))</f>
        <v>1</v>
      </c>
      <c r="AS21" s="9">
        <f>1-(AA21-MIN($AA$2:$AA$126))/(MAX($AA$2:$AA$126)-MIN($AA$2:$AA$126))</f>
        <v>0.57396449704142016</v>
      </c>
      <c r="AT21" s="9">
        <f>(K21-MIN($K$2:$K$126))/(MAX($K$2:$K$126)-MIN($K$2:$K$126))</f>
        <v>0.33333333333333331</v>
      </c>
      <c r="AU21" s="9">
        <f>(L21-MIN($L$2:$L$126))/(MAX($L$2:$L$126)-MIN($L$2:$L$126))</f>
        <v>1.2438490978676872E-2</v>
      </c>
      <c r="AV21" s="8">
        <f>(AI21*(Tablero!$B$5/100)+AJ21*(Tablero!$B$6/100))*(Tablero!$B$4/100)</f>
        <v>8.4942945992138197E-2</v>
      </c>
      <c r="AW21" s="8">
        <f>(AK21*(Tablero!$B$8/100))*(Tablero!$B$7/100)</f>
        <v>8.6824159766195799E-2</v>
      </c>
      <c r="AX21" s="8">
        <f>(AL21*(Tablero!$B$10/100)+AM21*(Tablero!$B$11/100)+AN21*(Tablero!$B$12/100)+AO21*(Tablero!$B$13/100)+AP21*(Tablero!$B$14/100))*(Tablero!$B$9/100)</f>
        <v>0.11420315577012907</v>
      </c>
      <c r="AY21" s="8">
        <f>(AQ21*(Tablero!$B$16/100)+AR21*(Tablero!$B$17/100)+AS21*(Tablero!$B$18/100))*(Tablero!$B$15/100)</f>
        <v>0.19073800131492438</v>
      </c>
      <c r="AZ21" s="8">
        <f>(AT21*(Tablero!$B$20/100)+AU21*(Tablero!$B$21/100))*(Tablero!$B$19/100)</f>
        <v>8.6442956078002561E-3</v>
      </c>
    </row>
    <row r="22" spans="2:52" hidden="1" x14ac:dyDescent="0.4">
      <c r="B22" t="s">
        <v>81</v>
      </c>
      <c r="C22" t="s">
        <v>82</v>
      </c>
      <c r="D22" s="3">
        <v>12028</v>
      </c>
      <c r="E22" s="3">
        <v>86</v>
      </c>
      <c r="F22">
        <v>48</v>
      </c>
      <c r="G22">
        <v>20.399999999999999</v>
      </c>
      <c r="H22">
        <v>68.400000000000006</v>
      </c>
      <c r="I22">
        <v>44.2</v>
      </c>
      <c r="J22">
        <v>12</v>
      </c>
      <c r="K22">
        <v>0.14000000000000001</v>
      </c>
      <c r="L22">
        <v>38</v>
      </c>
      <c r="M22">
        <v>1</v>
      </c>
      <c r="N22">
        <v>297.95671694999987</v>
      </c>
      <c r="O22" s="3">
        <v>9.31</v>
      </c>
      <c r="P22">
        <v>32</v>
      </c>
      <c r="Q22">
        <v>71.116279069767444</v>
      </c>
      <c r="R22">
        <v>58.14</v>
      </c>
      <c r="S22">
        <v>53.49</v>
      </c>
      <c r="T22">
        <v>54.65</v>
      </c>
      <c r="U22">
        <v>66.28</v>
      </c>
      <c r="V22" s="3">
        <v>215</v>
      </c>
      <c r="W22">
        <v>3</v>
      </c>
      <c r="X22">
        <v>3</v>
      </c>
      <c r="Y22">
        <v>0</v>
      </c>
      <c r="Z22">
        <v>0</v>
      </c>
      <c r="AA22" s="3">
        <v>24.9</v>
      </c>
      <c r="AC22">
        <v>52157.1</v>
      </c>
      <c r="AD22">
        <v>0.12</v>
      </c>
      <c r="AE22">
        <v>45.83</v>
      </c>
      <c r="AF22">
        <v>3.02</v>
      </c>
      <c r="AG22" s="10">
        <f>AV22+AW22+AX22+AY22+AZ22</f>
        <v>0.48372940839856488</v>
      </c>
      <c r="AH22" t="s">
        <v>48</v>
      </c>
      <c r="AI22" s="9">
        <f>(G22-MIN($G$2:$G$126))/(MAX($G$2:$G$126)-MIN($G$2:$G$126))</f>
        <v>0.32629107981220651</v>
      </c>
      <c r="AJ22" s="9">
        <f>(N22-MIN($N$2:$N$126))/(MAX($N$2:$N$126)-MIN($N$2:$N$126))</f>
        <v>6.2842837895148102E-3</v>
      </c>
      <c r="AK22" s="9">
        <f>(O22-MIN($O$2:$O$126))/(MAX($O$2:$O$126)-MIN($O$2:$O$126))</f>
        <v>0.45348270823185582</v>
      </c>
      <c r="AL22" s="9">
        <f>(S22-MIN($S$2:$S$126))/(MAX($S$2:$S$126)-MIN($S$2:$S$126))</f>
        <v>1</v>
      </c>
      <c r="AM22" s="9">
        <f>(T22-MIN($T$2:$T$126))/(MAX($T$2:$T$126)-MIN($T$2:$T$126))</f>
        <v>0.51015411205530758</v>
      </c>
      <c r="AN22" s="9">
        <f>1-(AC22-MIN($AC$2:$AC$126))/(MAX($AC$2:$AC$126)-MIN($AC$2:$AC$126))</f>
        <v>0.62580690493720414</v>
      </c>
      <c r="AO22" s="9">
        <f>(AD22-MIN($AD$2:$AD$126))/(MAX($AD$2:$AD$126)-MIN($AD$2:$AD$126))</f>
        <v>7.1856287425149698E-2</v>
      </c>
      <c r="AP22" s="9">
        <f>1-(AE22-MIN($AE$2:$AE$126))/(MAX($AE$2:$AE$126)-MIN($AE$2:$AE$126))</f>
        <v>0.54170000000000007</v>
      </c>
      <c r="AQ22" s="9">
        <f>(V22-MIN($V$2:$V$126))/(MAX($V$2:$V$126)-MIN($V$2:$V$126))</f>
        <v>0.59722222222222221</v>
      </c>
      <c r="AR22" s="9">
        <f>1-(Y22-MIN($Y$2:$Y$126))/(MAX($Y$2:$Y$126)-MIN($Y$2:$Y$126))</f>
        <v>1</v>
      </c>
      <c r="AS22" s="9">
        <f>1-(AA22-MIN($AA$2:$AA$126))/(MAX($AA$2:$AA$126)-MIN($AA$2:$AA$126))</f>
        <v>0.84953508030431113</v>
      </c>
      <c r="AT22" s="9">
        <f>(K22-MIN($K$2:$K$126))/(MAX($K$2:$K$126)-MIN($K$2:$K$126))</f>
        <v>0.27272727272727276</v>
      </c>
      <c r="AU22" s="9">
        <f>(L22-MIN($L$2:$L$126))/(MAX($L$2:$L$126)-MIN($L$2:$L$126))</f>
        <v>4.3739748496446143E-3</v>
      </c>
      <c r="AV22" s="8">
        <f>(AI22*(Tablero!$B$5/100)+AJ22*(Tablero!$B$6/100))*(Tablero!$B$4/100)</f>
        <v>4.9572090350782458E-2</v>
      </c>
      <c r="AW22" s="8">
        <f>(AK22*(Tablero!$B$8/100))*(Tablero!$B$7/100)</f>
        <v>0.11337067705796396</v>
      </c>
      <c r="AX22" s="8">
        <f>(AL22*(Tablero!$B$10/100)+AM22*(Tablero!$B$11/100)+AN22*(Tablero!$B$12/100)+AO22*(Tablero!$B$13/100)+AP22*(Tablero!$B$14/100))*(Tablero!$B$9/100)</f>
        <v>0.10789851057056554</v>
      </c>
      <c r="AY22" s="8">
        <f>(AQ22*(Tablero!$B$16/100)+AR22*(Tablero!$B$17/100)+AS22*(Tablero!$B$18/100))*(Tablero!$B$15/100)</f>
        <v>0.20596059922983001</v>
      </c>
      <c r="AZ22" s="8">
        <f>(AT22*(Tablero!$B$20/100)+AU22*(Tablero!$B$21/100))*(Tablero!$B$19/100)</f>
        <v>6.9275311894229355E-3</v>
      </c>
    </row>
    <row r="23" spans="2:52" hidden="1" x14ac:dyDescent="0.4">
      <c r="B23" t="s">
        <v>83</v>
      </c>
      <c r="C23" t="s">
        <v>84</v>
      </c>
      <c r="D23" s="3">
        <v>17789</v>
      </c>
      <c r="E23" s="3">
        <v>152</v>
      </c>
      <c r="F23">
        <v>60</v>
      </c>
      <c r="G23">
        <v>24.2</v>
      </c>
      <c r="H23">
        <v>57.4</v>
      </c>
      <c r="I23">
        <v>60.5</v>
      </c>
      <c r="J23">
        <v>18</v>
      </c>
      <c r="K23">
        <v>0.12</v>
      </c>
      <c r="L23">
        <v>70</v>
      </c>
      <c r="M23">
        <v>2</v>
      </c>
      <c r="N23">
        <v>246.97669189999991</v>
      </c>
      <c r="O23" s="3">
        <v>6.86</v>
      </c>
      <c r="P23">
        <v>36</v>
      </c>
      <c r="Q23">
        <v>73.138157894736835</v>
      </c>
      <c r="R23">
        <v>42.11</v>
      </c>
      <c r="S23">
        <v>40.79</v>
      </c>
      <c r="T23">
        <v>78.290000000000006</v>
      </c>
      <c r="U23">
        <v>66.45</v>
      </c>
      <c r="V23" s="3">
        <v>185</v>
      </c>
      <c r="W23">
        <v>4</v>
      </c>
      <c r="X23">
        <v>4</v>
      </c>
      <c r="Y23">
        <v>0</v>
      </c>
      <c r="Z23">
        <v>0</v>
      </c>
      <c r="AA23" s="3">
        <v>22.5</v>
      </c>
      <c r="AC23">
        <v>52157.1</v>
      </c>
      <c r="AD23">
        <v>0.12</v>
      </c>
      <c r="AE23">
        <v>45.83</v>
      </c>
      <c r="AF23">
        <v>3.02</v>
      </c>
      <c r="AG23" s="10">
        <f>AV23+AW23+AX23+AY23+AZ23</f>
        <v>0.47245256027065763</v>
      </c>
      <c r="AH23" t="s">
        <v>48</v>
      </c>
      <c r="AI23" s="9">
        <f>(G23-MIN($G$2:$G$126))/(MAX($G$2:$G$126)-MIN($G$2:$G$126))</f>
        <v>0.41549295774647882</v>
      </c>
      <c r="AJ23" s="9">
        <f>(N23-MIN($N$2:$N$126))/(MAX($N$2:$N$126)-MIN($N$2:$N$126))</f>
        <v>5.2090506204483938E-3</v>
      </c>
      <c r="AK23" s="9">
        <f>(O23-MIN($O$2:$O$126))/(MAX($O$2:$O$126)-MIN($O$2:$O$126))</f>
        <v>0.33414515343399903</v>
      </c>
      <c r="AL23" s="9">
        <f>(S23-MIN($S$2:$S$126))/(MAX($S$2:$S$126)-MIN($S$2:$S$126))</f>
        <v>0.70437616387337054</v>
      </c>
      <c r="AM23" s="9">
        <f>(T23-MIN($T$2:$T$126))/(MAX($T$2:$T$126)-MIN($T$2:$T$126))</f>
        <v>0.85064093331412949</v>
      </c>
      <c r="AN23" s="9">
        <f>1-(AC23-MIN($AC$2:$AC$126))/(MAX($AC$2:$AC$126)-MIN($AC$2:$AC$126))</f>
        <v>0.62580690493720414</v>
      </c>
      <c r="AO23" s="9">
        <f>(AD23-MIN($AD$2:$AD$126))/(MAX($AD$2:$AD$126)-MIN($AD$2:$AD$126))</f>
        <v>7.1856287425149698E-2</v>
      </c>
      <c r="AP23" s="9">
        <f>1-(AE23-MIN($AE$2:$AE$126))/(MAX($AE$2:$AE$126)-MIN($AE$2:$AE$126))</f>
        <v>0.54170000000000007</v>
      </c>
      <c r="AQ23" s="9">
        <f>(V23-MIN($V$2:$V$126))/(MAX($V$2:$V$126)-MIN($V$2:$V$126))</f>
        <v>0.51388888888888884</v>
      </c>
      <c r="AR23" s="9">
        <f>1-(Y23-MIN($Y$2:$Y$126))/(MAX($Y$2:$Y$126)-MIN($Y$2:$Y$126))</f>
        <v>1</v>
      </c>
      <c r="AS23" s="9">
        <f>1-(AA23-MIN($AA$2:$AA$126))/(MAX($AA$2:$AA$126)-MIN($AA$2:$AA$126))</f>
        <v>0.86982248520710059</v>
      </c>
      <c r="AT23" s="9">
        <f>(K23-MIN($K$2:$K$126))/(MAX($K$2:$K$126)-MIN($K$2:$K$126))</f>
        <v>0.2121212121212121</v>
      </c>
      <c r="AU23" s="9">
        <f>(L23-MIN($L$2:$L$126))/(MAX($L$2:$L$126)-MIN($L$2:$L$126))</f>
        <v>8.7479496992892286E-3</v>
      </c>
      <c r="AV23" s="8">
        <f>(AI23*(Tablero!$B$5/100)+AJ23*(Tablero!$B$6/100))*(Tablero!$B$4/100)</f>
        <v>6.2844848724016661E-2</v>
      </c>
      <c r="AW23" s="8">
        <f>(AK23*(Tablero!$B$8/100))*(Tablero!$B$7/100)</f>
        <v>8.3536288358499758E-2</v>
      </c>
      <c r="AX23" s="8">
        <f>(AL23*(Tablero!$B$10/100)+AM23*(Tablero!$B$11/100)+AN23*(Tablero!$B$12/100)+AO23*(Tablero!$B$13/100)+AP23*(Tablero!$B$14/100))*(Tablero!$B$9/100)</f>
        <v>0.12241524312356228</v>
      </c>
      <c r="AY23" s="8">
        <f>(AQ23*(Tablero!$B$16/100)+AR23*(Tablero!$B$17/100)+AS23*(Tablero!$B$18/100))*(Tablero!$B$15/100)</f>
        <v>0.1981344510190664</v>
      </c>
      <c r="AZ23" s="8">
        <f>(AT23*(Tablero!$B$20/100)+AU23*(Tablero!$B$21/100))*(Tablero!$B$19/100)</f>
        <v>5.5217290455125334E-3</v>
      </c>
    </row>
    <row r="24" spans="2:52" hidden="1" x14ac:dyDescent="0.4">
      <c r="B24" t="s">
        <v>85</v>
      </c>
      <c r="C24" t="s">
        <v>86</v>
      </c>
      <c r="D24" s="3">
        <v>4235</v>
      </c>
      <c r="E24" s="3">
        <v>50</v>
      </c>
      <c r="F24">
        <v>24</v>
      </c>
      <c r="G24">
        <v>32.700000000000003</v>
      </c>
      <c r="H24">
        <v>94.1</v>
      </c>
      <c r="I24">
        <v>52</v>
      </c>
      <c r="J24">
        <v>6</v>
      </c>
      <c r="K24">
        <v>0.12</v>
      </c>
      <c r="L24">
        <v>37</v>
      </c>
      <c r="M24">
        <v>0</v>
      </c>
      <c r="N24">
        <v>82.124920399999965</v>
      </c>
      <c r="O24" s="3">
        <v>4.32</v>
      </c>
      <c r="P24">
        <v>19</v>
      </c>
      <c r="Q24">
        <v>77.34</v>
      </c>
      <c r="R24">
        <v>44</v>
      </c>
      <c r="S24">
        <v>42</v>
      </c>
      <c r="T24">
        <v>70</v>
      </c>
      <c r="U24">
        <v>76</v>
      </c>
      <c r="V24" s="3">
        <v>230</v>
      </c>
      <c r="W24">
        <v>3</v>
      </c>
      <c r="X24">
        <v>3</v>
      </c>
      <c r="Y24">
        <v>0</v>
      </c>
      <c r="Z24">
        <v>0</v>
      </c>
      <c r="AA24" s="3">
        <v>70.8</v>
      </c>
      <c r="AB24">
        <v>23</v>
      </c>
      <c r="AC24">
        <v>36278.85</v>
      </c>
      <c r="AD24">
        <v>0.04</v>
      </c>
      <c r="AE24">
        <v>52.17</v>
      </c>
      <c r="AF24">
        <v>6.44</v>
      </c>
      <c r="AG24" s="10">
        <f>AV24+AW24+AX24+AY24+AZ24</f>
        <v>0.46388729482445046</v>
      </c>
      <c r="AH24" t="s">
        <v>41</v>
      </c>
      <c r="AI24" s="9">
        <f>(G24-MIN($G$2:$G$126))/(MAX($G$2:$G$126)-MIN($G$2:$G$126))</f>
        <v>0.61502347417840375</v>
      </c>
      <c r="AJ24" s="9">
        <f>(N24-MIN($N$2:$N$126))/(MAX($N$2:$N$126)-MIN($N$2:$N$126))</f>
        <v>1.7321183803737511E-3</v>
      </c>
      <c r="AK24" s="9">
        <f>(O24-MIN($O$2:$O$126))/(MAX($O$2:$O$126)-MIN($O$2:$O$126))</f>
        <v>0.21042377009254751</v>
      </c>
      <c r="AL24" s="9">
        <f>(S24-MIN($S$2:$S$126))/(MAX($S$2:$S$126)-MIN($S$2:$S$126))</f>
        <v>0.73254189944134074</v>
      </c>
      <c r="AM24" s="9">
        <f>(T24-MIN($T$2:$T$126))/(MAX($T$2:$T$126)-MIN($T$2:$T$126))</f>
        <v>0.73124009794037159</v>
      </c>
      <c r="AN24" s="9">
        <f>1-(AC24-MIN($AC$2:$AC$126))/(MAX($AC$2:$AC$126)-MIN($AC$2:$AC$126))</f>
        <v>0.78750103106641289</v>
      </c>
      <c r="AO24" s="9">
        <f>(AD24-MIN($AD$2:$AD$126))/(MAX($AD$2:$AD$126)-MIN($AD$2:$AD$126))</f>
        <v>2.3952095808383235E-2</v>
      </c>
      <c r="AP24" s="9">
        <f>1-(AE24-MIN($AE$2:$AE$126))/(MAX($AE$2:$AE$126)-MIN($AE$2:$AE$126))</f>
        <v>0.47829999999999995</v>
      </c>
      <c r="AQ24" s="9">
        <f>(V24-MIN($V$2:$V$126))/(MAX($V$2:$V$126)-MIN($V$2:$V$126))</f>
        <v>0.63888888888888884</v>
      </c>
      <c r="AR24" s="9">
        <f>1-(Y24-MIN($Y$2:$Y$126))/(MAX($Y$2:$Y$126)-MIN($Y$2:$Y$126))</f>
        <v>1</v>
      </c>
      <c r="AS24" s="9">
        <f>1-(AA24-MIN($AA$2:$AA$126))/(MAX($AA$2:$AA$126)-MIN($AA$2:$AA$126))</f>
        <v>0.46153846153846168</v>
      </c>
      <c r="AT24" s="9">
        <f>(K24-MIN($K$2:$K$126))/(MAX($K$2:$K$126)-MIN($K$2:$K$126))</f>
        <v>0.2121212121212121</v>
      </c>
      <c r="AU24" s="9">
        <f>(L24-MIN($L$2:$L$126))/(MAX($L$2:$L$126)-MIN($L$2:$L$126))</f>
        <v>4.2372881355932203E-3</v>
      </c>
      <c r="AV24" s="8">
        <f>(AI24*(Tablero!$B$5/100)+AJ24*(Tablero!$B$6/100))*(Tablero!$B$4/100)</f>
        <v>9.2426732964797947E-2</v>
      </c>
      <c r="AW24" s="8">
        <f>(AK24*(Tablero!$B$8/100))*(Tablero!$B$7/100)</f>
        <v>5.2605942523136877E-2</v>
      </c>
      <c r="AX24" s="8">
        <f>(AL24*(Tablero!$B$10/100)+AM24*(Tablero!$B$11/100)+AN24*(Tablero!$B$12/100)+AO24*(Tablero!$B$13/100)+AP24*(Tablero!$B$14/100))*(Tablero!$B$9/100)</f>
        <v>0.11301830640274504</v>
      </c>
      <c r="AY24" s="8">
        <f>(AQ24*(Tablero!$B$16/100)+AR24*(Tablero!$B$17/100)+AS24*(Tablero!$B$18/100))*(Tablero!$B$15/100)</f>
        <v>0.20042735042735044</v>
      </c>
      <c r="AZ24" s="8">
        <f>(AT24*(Tablero!$B$20/100)+AU24*(Tablero!$B$21/100))*(Tablero!$B$19/100)</f>
        <v>5.4089625064201331E-3</v>
      </c>
    </row>
    <row r="25" spans="2:52" hidden="1" x14ac:dyDescent="0.4">
      <c r="B25" t="s">
        <v>87</v>
      </c>
      <c r="C25" t="s">
        <v>88</v>
      </c>
      <c r="D25" s="3">
        <v>7253</v>
      </c>
      <c r="E25" s="3">
        <v>76</v>
      </c>
      <c r="F25">
        <v>21</v>
      </c>
      <c r="G25">
        <v>30</v>
      </c>
      <c r="H25">
        <v>49.8</v>
      </c>
      <c r="I25">
        <v>72.400000000000006</v>
      </c>
      <c r="J25">
        <v>16</v>
      </c>
      <c r="K25">
        <v>0.21</v>
      </c>
      <c r="L25">
        <v>28</v>
      </c>
      <c r="M25">
        <v>0</v>
      </c>
      <c r="N25">
        <v>53.584381999999977</v>
      </c>
      <c r="O25" s="3">
        <v>6.7</v>
      </c>
      <c r="P25">
        <v>8</v>
      </c>
      <c r="Q25">
        <v>72.44736842105263</v>
      </c>
      <c r="R25">
        <v>43.42</v>
      </c>
      <c r="S25">
        <v>18.420000000000002</v>
      </c>
      <c r="T25">
        <v>59.21</v>
      </c>
      <c r="U25">
        <v>57.89</v>
      </c>
      <c r="V25" s="3">
        <v>135</v>
      </c>
      <c r="W25">
        <v>2</v>
      </c>
      <c r="X25">
        <v>2</v>
      </c>
      <c r="Y25">
        <v>0</v>
      </c>
      <c r="Z25">
        <v>0</v>
      </c>
      <c r="AA25" s="3">
        <v>27.6</v>
      </c>
      <c r="AB25">
        <v>24</v>
      </c>
      <c r="AC25">
        <v>35070.01</v>
      </c>
      <c r="AD25">
        <v>0.62</v>
      </c>
      <c r="AE25">
        <v>0</v>
      </c>
      <c r="AF25">
        <v>1.53</v>
      </c>
      <c r="AG25" s="10">
        <f>AV25+AW25+AX25+AY25+AZ25</f>
        <v>0.50145606119137742</v>
      </c>
      <c r="AH25" t="s">
        <v>41</v>
      </c>
      <c r="AI25" s="9">
        <f>(G25-MIN($G$2:$G$126))/(MAX($G$2:$G$126)-MIN($G$2:$G$126))</f>
        <v>0.55164319248826288</v>
      </c>
      <c r="AJ25" s="9">
        <f>(N25-MIN($N$2:$N$126))/(MAX($N$2:$N$126)-MIN($N$2:$N$126))</f>
        <v>1.1301623491517974E-3</v>
      </c>
      <c r="AK25" s="9">
        <f>(O25-MIN($O$2:$O$126))/(MAX($O$2:$O$126)-MIN($O$2:$O$126))</f>
        <v>0.32635168046760837</v>
      </c>
      <c r="AL25" s="9">
        <f>(S25-MIN($S$2:$S$126))/(MAX($S$2:$S$126)-MIN($S$2:$S$126))</f>
        <v>0.18365921787709502</v>
      </c>
      <c r="AM25" s="9">
        <f>(T25-MIN($T$2:$T$126))/(MAX($T$2:$T$126)-MIN($T$2:$T$126))</f>
        <v>0.57583177300878596</v>
      </c>
      <c r="AN25" s="9">
        <f>1-(AC25-MIN($AC$2:$AC$126))/(MAX($AC$2:$AC$126)-MIN($AC$2:$AC$126))</f>
        <v>0.79981109844978526</v>
      </c>
      <c r="AO25" s="9">
        <f>(AD25-MIN($AD$2:$AD$126))/(MAX($AD$2:$AD$126)-MIN($AD$2:$AD$126))</f>
        <v>0.37125748502994016</v>
      </c>
      <c r="AP25" s="9">
        <f>1-(AE25-MIN($AE$2:$AE$126))/(MAX($AE$2:$AE$126)-MIN($AE$2:$AE$126))</f>
        <v>1</v>
      </c>
      <c r="AQ25" s="9">
        <f>(V25-MIN($V$2:$V$126))/(MAX($V$2:$V$126)-MIN($V$2:$V$126))</f>
        <v>0.375</v>
      </c>
      <c r="AR25" s="9">
        <f>1-(Y25-MIN($Y$2:$Y$126))/(MAX($Y$2:$Y$126)-MIN($Y$2:$Y$126))</f>
        <v>1</v>
      </c>
      <c r="AS25" s="9">
        <f>1-(AA25-MIN($AA$2:$AA$126))/(MAX($AA$2:$AA$126)-MIN($AA$2:$AA$126))</f>
        <v>0.8267117497886729</v>
      </c>
      <c r="AT25" s="9">
        <f>(K25-MIN($K$2:$K$126))/(MAX($K$2:$K$126)-MIN($K$2:$K$126))</f>
        <v>0.48484848484848475</v>
      </c>
      <c r="AU25" s="9">
        <f>(L25-MIN($L$2:$L$126))/(MAX($L$2:$L$126)-MIN($L$2:$L$126))</f>
        <v>3.0071077091306723E-3</v>
      </c>
      <c r="AV25" s="8">
        <f>(AI25*(Tablero!$B$5/100)+AJ25*(Tablero!$B$6/100))*(Tablero!$B$4/100)</f>
        <v>8.2859495108154602E-2</v>
      </c>
      <c r="AW25" s="8">
        <f>(AK25*(Tablero!$B$8/100))*(Tablero!$B$7/100)</f>
        <v>8.1587920116902093E-2</v>
      </c>
      <c r="AX25" s="8">
        <f>(AL25*(Tablero!$B$10/100)+AM25*(Tablero!$B$11/100)+AN25*(Tablero!$B$12/100)+AO25*(Tablero!$B$13/100)+AP25*(Tablero!$B$14/100))*(Tablero!$B$9/100)</f>
        <v>0.14164446240766357</v>
      </c>
      <c r="AY25" s="8">
        <f>(AQ25*(Tablero!$B$16/100)+AR25*(Tablero!$B$17/100)+AS25*(Tablero!$B$18/100))*(Tablero!$B$15/100)</f>
        <v>0.18316779374471684</v>
      </c>
      <c r="AZ25" s="8">
        <f>(AT25*(Tablero!$B$20/100)+AU25*(Tablero!$B$21/100))*(Tablero!$B$19/100)</f>
        <v>1.2196389813940386E-2</v>
      </c>
    </row>
    <row r="26" spans="2:52" hidden="1" x14ac:dyDescent="0.4">
      <c r="B26" t="s">
        <v>89</v>
      </c>
      <c r="C26" t="s">
        <v>90</v>
      </c>
      <c r="D26" s="3">
        <v>4010</v>
      </c>
      <c r="E26" s="3">
        <v>33</v>
      </c>
      <c r="F26">
        <v>10</v>
      </c>
      <c r="G26">
        <v>24.2</v>
      </c>
      <c r="H26">
        <v>44</v>
      </c>
      <c r="I26">
        <v>69.7</v>
      </c>
      <c r="J26">
        <v>4</v>
      </c>
      <c r="K26">
        <v>0.12</v>
      </c>
      <c r="L26">
        <v>14</v>
      </c>
      <c r="M26">
        <v>0</v>
      </c>
      <c r="N26">
        <v>28.289044269999991</v>
      </c>
      <c r="O26" s="3">
        <v>4.71</v>
      </c>
      <c r="P26">
        <v>6</v>
      </c>
      <c r="Q26">
        <v>74.696969696969703</v>
      </c>
      <c r="R26">
        <v>42.42</v>
      </c>
      <c r="S26">
        <v>48.48</v>
      </c>
      <c r="T26">
        <v>78.790000000000006</v>
      </c>
      <c r="U26">
        <v>57.58</v>
      </c>
      <c r="V26" s="3">
        <v>250</v>
      </c>
      <c r="W26">
        <v>3</v>
      </c>
      <c r="X26">
        <v>3</v>
      </c>
      <c r="Y26">
        <v>0</v>
      </c>
      <c r="Z26">
        <v>0</v>
      </c>
      <c r="AA26" s="3">
        <v>74.8</v>
      </c>
      <c r="AB26">
        <v>24</v>
      </c>
      <c r="AC26">
        <v>29939.9</v>
      </c>
      <c r="AD26">
        <v>0.12</v>
      </c>
      <c r="AE26">
        <v>45.83</v>
      </c>
      <c r="AF26">
        <v>2.29</v>
      </c>
      <c r="AG26" s="10">
        <f>AV26+AW26+AX26+AY26+AZ26</f>
        <v>0.46115899176023645</v>
      </c>
      <c r="AH26" t="s">
        <v>41</v>
      </c>
      <c r="AI26" s="9">
        <f>(G26-MIN($G$2:$G$126))/(MAX($G$2:$G$126)-MIN($G$2:$G$126))</f>
        <v>0.41549295774647882</v>
      </c>
      <c r="AJ26" s="9">
        <f>(N26-MIN($N$2:$N$126))/(MAX($N$2:$N$126)-MIN($N$2:$N$126))</f>
        <v>5.9665170212175626E-4</v>
      </c>
      <c r="AK26" s="9">
        <f>(O26-MIN($O$2:$O$126))/(MAX($O$2:$O$126)-MIN($O$2:$O$126))</f>
        <v>0.22942036044812469</v>
      </c>
      <c r="AL26" s="9">
        <f>(S26-MIN($S$2:$S$126))/(MAX($S$2:$S$126)-MIN($S$2:$S$126))</f>
        <v>0.88337988826815628</v>
      </c>
      <c r="AM26" s="9">
        <f>(T26-MIN($T$2:$T$126))/(MAX($T$2:$T$126)-MIN($T$2:$T$126))</f>
        <v>0.85784243122569503</v>
      </c>
      <c r="AN26" s="9">
        <f>1-(AC26-MIN($AC$2:$AC$126))/(MAX($AC$2:$AC$126)-MIN($AC$2:$AC$126))</f>
        <v>0.85205291687415285</v>
      </c>
      <c r="AO26" s="9">
        <f>(AD26-MIN($AD$2:$AD$126))/(MAX($AD$2:$AD$126)-MIN($AD$2:$AD$126))</f>
        <v>7.1856287425149698E-2</v>
      </c>
      <c r="AP26" s="9">
        <f>1-(AE26-MIN($AE$2:$AE$126))/(MAX($AE$2:$AE$126)-MIN($AE$2:$AE$126))</f>
        <v>0.54170000000000007</v>
      </c>
      <c r="AQ26" s="9">
        <f>(V26-MIN($V$2:$V$126))/(MAX($V$2:$V$126)-MIN($V$2:$V$126))</f>
        <v>0.69444444444444442</v>
      </c>
      <c r="AR26" s="9">
        <f>1-(Y26-MIN($Y$2:$Y$126))/(MAX($Y$2:$Y$126)-MIN($Y$2:$Y$126))</f>
        <v>1</v>
      </c>
      <c r="AS26" s="9">
        <f>1-(AA26-MIN($AA$2:$AA$126))/(MAX($AA$2:$AA$126)-MIN($AA$2:$AA$126))</f>
        <v>0.42772612003381238</v>
      </c>
      <c r="AT26" s="9">
        <f>(K26-MIN($K$2:$K$126))/(MAX($K$2:$K$126)-MIN($K$2:$K$126))</f>
        <v>0.2121212121212121</v>
      </c>
      <c r="AU26" s="9">
        <f>(L26-MIN($L$2:$L$126))/(MAX($L$2:$L$126)-MIN($L$2:$L$126))</f>
        <v>1.0934937124111536E-3</v>
      </c>
      <c r="AV26" s="8">
        <f>(AI26*(Tablero!$B$5/100)+AJ26*(Tablero!$B$6/100))*(Tablero!$B$4/100)</f>
        <v>6.2383608832183995E-2</v>
      </c>
      <c r="AW26" s="8">
        <f>(AK26*(Tablero!$B$8/100))*(Tablero!$B$7/100)</f>
        <v>5.7355090112031173E-2</v>
      </c>
      <c r="AX26" s="8">
        <f>(AL26*(Tablero!$B$10/100)+AM26*(Tablero!$B$11/100)+AN26*(Tablero!$B$12/100)+AO26*(Tablero!$B$13/100)+AP26*(Tablero!$B$14/100))*(Tablero!$B$9/100)</f>
        <v>0.1309523277248909</v>
      </c>
      <c r="AY26" s="8">
        <f>(AQ26*(Tablero!$B$16/100)+AR26*(Tablero!$B$17/100)+AS26*(Tablero!$B$18/100))*(Tablero!$B$15/100)</f>
        <v>0.20513759744528975</v>
      </c>
      <c r="AZ26" s="8">
        <f>(AT26*(Tablero!$B$20/100)+AU26*(Tablero!$B$21/100))*(Tablero!$B$19/100)</f>
        <v>5.3303676458405815E-3</v>
      </c>
    </row>
    <row r="27" spans="2:52" hidden="1" x14ac:dyDescent="0.4">
      <c r="B27" t="s">
        <v>91</v>
      </c>
      <c r="C27" t="s">
        <v>92</v>
      </c>
      <c r="D27" s="3">
        <v>6107</v>
      </c>
      <c r="E27" s="3">
        <v>63</v>
      </c>
      <c r="F27">
        <v>15</v>
      </c>
      <c r="G27">
        <v>29.3</v>
      </c>
      <c r="H27">
        <v>41.9</v>
      </c>
      <c r="I27">
        <v>76.2</v>
      </c>
      <c r="J27">
        <v>12</v>
      </c>
      <c r="K27">
        <v>0.19</v>
      </c>
      <c r="L27">
        <v>29</v>
      </c>
      <c r="M27">
        <v>1</v>
      </c>
      <c r="N27">
        <v>44.092339919999972</v>
      </c>
      <c r="O27" s="3">
        <v>4.9000000000000004</v>
      </c>
      <c r="P27">
        <v>9</v>
      </c>
      <c r="Q27">
        <v>71.238095238095241</v>
      </c>
      <c r="R27">
        <v>47.62</v>
      </c>
      <c r="S27">
        <v>47.62</v>
      </c>
      <c r="T27">
        <v>66.67</v>
      </c>
      <c r="U27">
        <v>52.38</v>
      </c>
      <c r="V27" s="3">
        <v>105</v>
      </c>
      <c r="W27">
        <v>2</v>
      </c>
      <c r="X27">
        <v>2</v>
      </c>
      <c r="Y27">
        <v>0</v>
      </c>
      <c r="Z27">
        <v>0</v>
      </c>
      <c r="AA27" s="3">
        <v>32.700000000000003</v>
      </c>
      <c r="AC27">
        <v>52157.1</v>
      </c>
      <c r="AD27">
        <v>0.12</v>
      </c>
      <c r="AE27">
        <v>45.83</v>
      </c>
      <c r="AF27">
        <v>3.02</v>
      </c>
      <c r="AG27" s="10">
        <f>AV27+AW27+AX27+AY27+AZ27</f>
        <v>0.44003798783476566</v>
      </c>
      <c r="AH27" t="s">
        <v>48</v>
      </c>
      <c r="AI27" s="9">
        <f>(G27-MIN($G$2:$G$126))/(MAX($G$2:$G$126)-MIN($G$2:$G$126))</f>
        <v>0.53521126760563376</v>
      </c>
      <c r="AJ27" s="9">
        <f>(N27-MIN($N$2:$N$126))/(MAX($N$2:$N$126)-MIN($N$2:$N$126))</f>
        <v>9.2996318336911624E-4</v>
      </c>
      <c r="AK27" s="9">
        <f>(O27-MIN($O$2:$O$126))/(MAX($O$2:$O$126)-MIN($O$2:$O$126))</f>
        <v>0.23867510959571359</v>
      </c>
      <c r="AL27" s="9">
        <f>(S27-MIN($S$2:$S$126))/(MAX($S$2:$S$126)-MIN($S$2:$S$126))</f>
        <v>0.86336126629422705</v>
      </c>
      <c r="AM27" s="9">
        <f>(T27-MIN($T$2:$T$126))/(MAX($T$2:$T$126)-MIN($T$2:$T$126))</f>
        <v>0.68327812184934467</v>
      </c>
      <c r="AN27" s="9">
        <f>1-(AC27-MIN($AC$2:$AC$126))/(MAX($AC$2:$AC$126)-MIN($AC$2:$AC$126))</f>
        <v>0.62580690493720414</v>
      </c>
      <c r="AO27" s="9">
        <f>(AD27-MIN($AD$2:$AD$126))/(MAX($AD$2:$AD$126)-MIN($AD$2:$AD$126))</f>
        <v>7.1856287425149698E-2</v>
      </c>
      <c r="AP27" s="9">
        <f>1-(AE27-MIN($AE$2:$AE$126))/(MAX($AE$2:$AE$126)-MIN($AE$2:$AE$126))</f>
        <v>0.54170000000000007</v>
      </c>
      <c r="AQ27" s="9">
        <f>(V27-MIN($V$2:$V$126))/(MAX($V$2:$V$126)-MIN($V$2:$V$126))</f>
        <v>0.29166666666666669</v>
      </c>
      <c r="AR27" s="9">
        <f>1-(Y27-MIN($Y$2:$Y$126))/(MAX($Y$2:$Y$126)-MIN($Y$2:$Y$126))</f>
        <v>1</v>
      </c>
      <c r="AS27" s="9">
        <f>1-(AA27-MIN($AA$2:$AA$126))/(MAX($AA$2:$AA$126)-MIN($AA$2:$AA$126))</f>
        <v>0.78360101437024521</v>
      </c>
      <c r="AT27" s="9">
        <f>(K27-MIN($K$2:$K$126))/(MAX($K$2:$K$126)-MIN($K$2:$K$126))</f>
        <v>0.42424242424242425</v>
      </c>
      <c r="AU27" s="9">
        <f>(L27-MIN($L$2:$L$126))/(MAX($L$2:$L$126)-MIN($L$2:$L$126))</f>
        <v>3.1437944231820667E-3</v>
      </c>
      <c r="AV27" s="8">
        <f>(AI27*(Tablero!$B$5/100)+AJ27*(Tablero!$B$6/100))*(Tablero!$B$4/100)</f>
        <v>8.0374686459181971E-2</v>
      </c>
      <c r="AW27" s="8">
        <f>(AK27*(Tablero!$B$8/100))*(Tablero!$B$7/100)</f>
        <v>5.9668777398928396E-2</v>
      </c>
      <c r="AX27" s="8">
        <f>(AL27*(Tablero!$B$10/100)+AM27*(Tablero!$B$11/100)+AN27*(Tablero!$B$12/100)+AO27*(Tablero!$B$13/100)+AP27*(Tablero!$B$14/100))*(Tablero!$B$9/100)</f>
        <v>0.11555317648409232</v>
      </c>
      <c r="AY27" s="8">
        <f>(AQ27*(Tablero!$B$16/100)+AR27*(Tablero!$B$17/100)+AS27*(Tablero!$B$18/100))*(Tablero!$B$15/100)</f>
        <v>0.17375669202592281</v>
      </c>
      <c r="AZ27" s="8">
        <f>(AT27*(Tablero!$B$20/100)+AU27*(Tablero!$B$21/100))*(Tablero!$B$19/100)</f>
        <v>1.0684655466640158E-2</v>
      </c>
    </row>
    <row r="28" spans="2:52" hidden="1" x14ac:dyDescent="0.4">
      <c r="B28" t="s">
        <v>93</v>
      </c>
      <c r="C28" t="s">
        <v>94</v>
      </c>
      <c r="D28" s="3">
        <v>7605</v>
      </c>
      <c r="E28" s="3">
        <v>92</v>
      </c>
      <c r="F28">
        <v>28</v>
      </c>
      <c r="G28">
        <v>34</v>
      </c>
      <c r="H28">
        <v>62.1</v>
      </c>
      <c r="I28">
        <v>69.599999999999994</v>
      </c>
      <c r="J28">
        <v>19</v>
      </c>
      <c r="K28">
        <v>0.21</v>
      </c>
      <c r="L28">
        <v>50</v>
      </c>
      <c r="M28">
        <v>1</v>
      </c>
      <c r="N28">
        <v>79.891784759999979</v>
      </c>
      <c r="O28" s="3">
        <v>4.4400000000000004</v>
      </c>
      <c r="P28">
        <v>18</v>
      </c>
      <c r="Q28">
        <v>74.597826086956516</v>
      </c>
      <c r="R28">
        <v>48.91</v>
      </c>
      <c r="S28">
        <v>40.22</v>
      </c>
      <c r="T28">
        <v>65.22</v>
      </c>
      <c r="U28">
        <v>72.83</v>
      </c>
      <c r="V28" s="3">
        <v>115</v>
      </c>
      <c r="W28">
        <v>4</v>
      </c>
      <c r="X28">
        <v>4</v>
      </c>
      <c r="Y28">
        <v>0</v>
      </c>
      <c r="Z28">
        <v>0</v>
      </c>
      <c r="AA28" s="3">
        <v>52.6</v>
      </c>
      <c r="AB28">
        <v>44</v>
      </c>
      <c r="AC28">
        <v>48397.3</v>
      </c>
      <c r="AD28">
        <v>0</v>
      </c>
      <c r="AE28">
        <v>34.090000000000003</v>
      </c>
      <c r="AF28">
        <v>6.2</v>
      </c>
      <c r="AG28" s="10">
        <f>AV28+AW28+AX28+AY28+AZ28</f>
        <v>0.45524300758967029</v>
      </c>
      <c r="AH28" t="s">
        <v>41</v>
      </c>
      <c r="AI28" s="9">
        <f>(G28-MIN($G$2:$G$126))/(MAX($G$2:$G$126)-MIN($G$2:$G$126))</f>
        <v>0.64553990610328638</v>
      </c>
      <c r="AJ28" s="9">
        <f>(N28-MIN($N$2:$N$126))/(MAX($N$2:$N$126)-MIN($N$2:$N$126))</f>
        <v>1.6850187269546449E-3</v>
      </c>
      <c r="AK28" s="9">
        <f>(O28-MIN($O$2:$O$126))/(MAX($O$2:$O$126)-MIN($O$2:$O$126))</f>
        <v>0.21626887481734047</v>
      </c>
      <c r="AL28" s="9">
        <f>(S28-MIN($S$2:$S$126))/(MAX($S$2:$S$126)-MIN($S$2:$S$126))</f>
        <v>0.69110800744878953</v>
      </c>
      <c r="AM28" s="9">
        <f>(T28-MIN($T$2:$T$126))/(MAX($T$2:$T$126)-MIN($T$2:$T$126))</f>
        <v>0.66239377790580445</v>
      </c>
      <c r="AN28" s="9">
        <f>1-(AC28-MIN($AC$2:$AC$126))/(MAX($AC$2:$AC$126)-MIN($AC$2:$AC$126))</f>
        <v>0.66409434690471314</v>
      </c>
      <c r="AO28" s="9">
        <f>(AD28-MIN($AD$2:$AD$126))/(MAX($AD$2:$AD$126)-MIN($AD$2:$AD$126))</f>
        <v>0</v>
      </c>
      <c r="AP28" s="9">
        <f>1-(AE28-MIN($AE$2:$AE$126))/(MAX($AE$2:$AE$126)-MIN($AE$2:$AE$126))</f>
        <v>0.65910000000000002</v>
      </c>
      <c r="AQ28" s="9">
        <f>(V28-MIN($V$2:$V$126))/(MAX($V$2:$V$126)-MIN($V$2:$V$126))</f>
        <v>0.31944444444444442</v>
      </c>
      <c r="AR28" s="9">
        <f>1-(Y28-MIN($Y$2:$Y$126))/(MAX($Y$2:$Y$126)-MIN($Y$2:$Y$126))</f>
        <v>1</v>
      </c>
      <c r="AS28" s="9">
        <f>1-(AA28-MIN($AA$2:$AA$126))/(MAX($AA$2:$AA$126)-MIN($AA$2:$AA$126))</f>
        <v>0.61538461538461542</v>
      </c>
      <c r="AT28" s="9">
        <f>(K28-MIN($K$2:$K$126))/(MAX($K$2:$K$126)-MIN($K$2:$K$126))</f>
        <v>0.48484848484848475</v>
      </c>
      <c r="AU28" s="9">
        <f>(L28-MIN($L$2:$L$126))/(MAX($L$2:$L$126)-MIN($L$2:$L$126))</f>
        <v>6.0142154182613447E-3</v>
      </c>
      <c r="AV28" s="8">
        <f>(AI28*(Tablero!$B$5/100)+AJ28*(Tablero!$B$6/100))*(Tablero!$B$4/100)</f>
        <v>9.6999487788188413E-2</v>
      </c>
      <c r="AW28" s="8">
        <f>(AK28*(Tablero!$B$8/100))*(Tablero!$B$7/100)</f>
        <v>5.4067218704335118E-2</v>
      </c>
      <c r="AX28" s="8">
        <f>(AL28*(Tablero!$B$10/100)+AM28*(Tablero!$B$11/100)+AN28*(Tablero!$B$12/100)+AO28*(Tablero!$B$13/100)+AP28*(Tablero!$B$14/100))*(Tablero!$B$9/100)</f>
        <v>0.11957567376141834</v>
      </c>
      <c r="AY28" s="8">
        <f>(AQ28*(Tablero!$B$16/100)+AR28*(Tablero!$B$17/100)+AS28*(Tablero!$B$18/100))*(Tablero!$B$15/100)</f>
        <v>0.17232905982905983</v>
      </c>
      <c r="AZ28" s="8">
        <f>(AT28*(Tablero!$B$20/100)+AU28*(Tablero!$B$21/100))*(Tablero!$B$19/100)</f>
        <v>1.2271567506668654E-2</v>
      </c>
    </row>
    <row r="29" spans="2:52" hidden="1" x14ac:dyDescent="0.4">
      <c r="B29" t="s">
        <v>95</v>
      </c>
      <c r="C29" t="s">
        <v>96</v>
      </c>
      <c r="D29" s="3">
        <v>18862</v>
      </c>
      <c r="E29" s="3">
        <v>148</v>
      </c>
      <c r="F29">
        <v>59</v>
      </c>
      <c r="G29">
        <v>21.9</v>
      </c>
      <c r="H29">
        <v>52.4</v>
      </c>
      <c r="I29">
        <v>60.1</v>
      </c>
      <c r="J29">
        <v>30</v>
      </c>
      <c r="K29">
        <v>0.2</v>
      </c>
      <c r="L29">
        <v>65</v>
      </c>
      <c r="M29">
        <v>1</v>
      </c>
      <c r="N29">
        <v>213.5018423299999</v>
      </c>
      <c r="O29" s="3">
        <v>5.77</v>
      </c>
      <c r="P29">
        <v>37</v>
      </c>
      <c r="Q29">
        <v>70.78378378378379</v>
      </c>
      <c r="R29">
        <v>37.159999999999997</v>
      </c>
      <c r="S29">
        <v>40.54</v>
      </c>
      <c r="T29">
        <v>53.38</v>
      </c>
      <c r="U29">
        <v>49.32</v>
      </c>
      <c r="V29" s="3">
        <v>280</v>
      </c>
      <c r="W29">
        <v>8</v>
      </c>
      <c r="X29">
        <v>8</v>
      </c>
      <c r="Y29">
        <v>0</v>
      </c>
      <c r="Z29">
        <v>0</v>
      </c>
      <c r="AA29" s="3">
        <v>42.4</v>
      </c>
      <c r="AB29">
        <v>83</v>
      </c>
      <c r="AC29">
        <v>42344.37</v>
      </c>
      <c r="AD29">
        <v>0.6</v>
      </c>
      <c r="AE29">
        <v>34.94</v>
      </c>
      <c r="AF29">
        <v>3.27</v>
      </c>
      <c r="AG29" s="10">
        <f>AV29+AW29+AX29+AY29+AZ29</f>
        <v>0.47405303821611677</v>
      </c>
      <c r="AH29" t="s">
        <v>41</v>
      </c>
      <c r="AI29" s="9">
        <f>(G29-MIN($G$2:$G$126))/(MAX($G$2:$G$126)-MIN($G$2:$G$126))</f>
        <v>0.36150234741784032</v>
      </c>
      <c r="AJ29" s="9">
        <f>(N29-MIN($N$2:$N$126))/(MAX($N$2:$N$126)-MIN($N$2:$N$126))</f>
        <v>4.5030237294872502E-3</v>
      </c>
      <c r="AK29" s="9">
        <f>(O29-MIN($O$2:$O$126))/(MAX($O$2:$O$126)-MIN($O$2:$O$126))</f>
        <v>0.28105211885046272</v>
      </c>
      <c r="AL29" s="9">
        <f>(S29-MIN($S$2:$S$126))/(MAX($S$2:$S$126)-MIN($S$2:$S$126))</f>
        <v>0.69855679702048412</v>
      </c>
      <c r="AM29" s="9">
        <f>(T29-MIN($T$2:$T$126))/(MAX($T$2:$T$126)-MIN($T$2:$T$126))</f>
        <v>0.49186230735993097</v>
      </c>
      <c r="AN29" s="9">
        <f>1-(AC29-MIN($AC$2:$AC$126))/(MAX($AC$2:$AC$126)-MIN($AC$2:$AC$126))</f>
        <v>0.72573358465895366</v>
      </c>
      <c r="AO29" s="9">
        <f>(AD29-MIN($AD$2:$AD$126))/(MAX($AD$2:$AD$126)-MIN($AD$2:$AD$126))</f>
        <v>0.3592814371257485</v>
      </c>
      <c r="AP29" s="9">
        <f>1-(AE29-MIN($AE$2:$AE$126))/(MAX($AE$2:$AE$126)-MIN($AE$2:$AE$126))</f>
        <v>0.65060000000000007</v>
      </c>
      <c r="AQ29" s="9">
        <f>(V29-MIN($V$2:$V$126))/(MAX($V$2:$V$126)-MIN($V$2:$V$126))</f>
        <v>0.77777777777777779</v>
      </c>
      <c r="AR29" s="9">
        <f>1-(Y29-MIN($Y$2:$Y$126))/(MAX($Y$2:$Y$126)-MIN($Y$2:$Y$126))</f>
        <v>1</v>
      </c>
      <c r="AS29" s="9">
        <f>1-(AA29-MIN($AA$2:$AA$126))/(MAX($AA$2:$AA$126)-MIN($AA$2:$AA$126))</f>
        <v>0.70160608622147091</v>
      </c>
      <c r="AT29" s="9">
        <f>(K29-MIN($K$2:$K$126))/(MAX($K$2:$K$126)-MIN($K$2:$K$126))</f>
        <v>0.45454545454545459</v>
      </c>
      <c r="AU29" s="9">
        <f>(L29-MIN($L$2:$L$126))/(MAX($L$2:$L$126)-MIN($L$2:$L$126))</f>
        <v>8.0645161290322578E-3</v>
      </c>
      <c r="AV29" s="8">
        <f>(AI29*(Tablero!$B$5/100)+AJ29*(Tablero!$B$6/100))*(Tablero!$B$4/100)</f>
        <v>5.4675654485624774E-2</v>
      </c>
      <c r="AW29" s="8">
        <f>(AK29*(Tablero!$B$8/100))*(Tablero!$B$7/100)</f>
        <v>7.0263029712615679E-2</v>
      </c>
      <c r="AX29" s="8">
        <f>(AL29*(Tablero!$B$10/100)+AM29*(Tablero!$B$11/100)+AN29*(Tablero!$B$12/100)+AO29*(Tablero!$B$13/100)+AP29*(Tablero!$B$14/100))*(Tablero!$B$9/100)</f>
        <v>0.11723117481769961</v>
      </c>
      <c r="AY29" s="8">
        <f>(AQ29*(Tablero!$B$16/100)+AR29*(Tablero!$B$17/100)+AS29*(Tablero!$B$18/100))*(Tablero!$B$15/100)</f>
        <v>0.22031792993331456</v>
      </c>
      <c r="AZ29" s="8">
        <f>(AT29*(Tablero!$B$20/100)+AU29*(Tablero!$B$21/100))*(Tablero!$B$19/100)</f>
        <v>1.1565249266862171E-2</v>
      </c>
    </row>
    <row r="30" spans="2:52" hidden="1" x14ac:dyDescent="0.4">
      <c r="B30" t="s">
        <v>97</v>
      </c>
      <c r="C30" t="s">
        <v>98</v>
      </c>
      <c r="D30" s="3">
        <v>1386883</v>
      </c>
      <c r="E30" s="3">
        <v>15273</v>
      </c>
      <c r="F30">
        <v>4965</v>
      </c>
      <c r="G30">
        <v>30.2</v>
      </c>
      <c r="H30">
        <v>59</v>
      </c>
      <c r="I30">
        <v>67.5</v>
      </c>
      <c r="J30">
        <v>2824</v>
      </c>
      <c r="K30">
        <v>0.18</v>
      </c>
      <c r="L30">
        <v>7322</v>
      </c>
      <c r="M30">
        <v>99</v>
      </c>
      <c r="N30">
        <v>47412.995168539986</v>
      </c>
      <c r="O30" s="3">
        <v>8.27</v>
      </c>
      <c r="P30">
        <v>5736</v>
      </c>
      <c r="Q30">
        <v>71.826032868460686</v>
      </c>
      <c r="R30">
        <v>48.92</v>
      </c>
      <c r="S30">
        <v>21.72</v>
      </c>
      <c r="T30">
        <v>25.9</v>
      </c>
      <c r="U30">
        <v>43.09</v>
      </c>
      <c r="V30" s="3">
        <v>0</v>
      </c>
      <c r="W30">
        <v>386</v>
      </c>
      <c r="X30">
        <v>280</v>
      </c>
      <c r="Y30">
        <v>96</v>
      </c>
      <c r="Z30">
        <v>10</v>
      </c>
      <c r="AA30" s="3">
        <v>27.8</v>
      </c>
      <c r="AB30">
        <v>1741</v>
      </c>
      <c r="AC30">
        <v>70964.22</v>
      </c>
      <c r="AD30">
        <v>0.02</v>
      </c>
      <c r="AE30">
        <v>72.14</v>
      </c>
      <c r="AF30">
        <v>1.88</v>
      </c>
      <c r="AG30" s="10">
        <f>AV30+AW30+AX30+AY30+AZ30</f>
        <v>0.38181783809484077</v>
      </c>
      <c r="AH30" t="s">
        <v>41</v>
      </c>
      <c r="AI30" s="9">
        <f>(G30-MIN($G$2:$G$126))/(MAX($G$2:$G$126)-MIN($G$2:$G$126))</f>
        <v>0.55633802816901401</v>
      </c>
      <c r="AJ30" s="9">
        <f>(N30-MIN($N$2:$N$126))/(MAX($N$2:$N$126)-MIN($N$2:$N$126))</f>
        <v>1</v>
      </c>
      <c r="AK30" s="9">
        <f>(O30-MIN($O$2:$O$126))/(MAX($O$2:$O$126)-MIN($O$2:$O$126))</f>
        <v>0.40282513395031655</v>
      </c>
      <c r="AL30" s="9">
        <f>(S30-MIN($S$2:$S$126))/(MAX($S$2:$S$126)-MIN($S$2:$S$126))</f>
        <v>0.26047486033519551</v>
      </c>
      <c r="AM30" s="9">
        <f>(T30-MIN($T$2:$T$126))/(MAX($T$2:$T$126)-MIN($T$2:$T$126))</f>
        <v>9.6067982140285169E-2</v>
      </c>
      <c r="AN30" s="9">
        <f>1-(AC30-MIN($AC$2:$AC$126))/(MAX($AC$2:$AC$126)-MIN($AC$2:$AC$126))</f>
        <v>0.43428700611918813</v>
      </c>
      <c r="AO30" s="9">
        <f>(AD30-MIN($AD$2:$AD$126))/(MAX($AD$2:$AD$126)-MIN($AD$2:$AD$126))</f>
        <v>1.1976047904191617E-2</v>
      </c>
      <c r="AP30" s="9">
        <f>1-(AE30-MIN($AE$2:$AE$126))/(MAX($AE$2:$AE$126)-MIN($AE$2:$AE$126))</f>
        <v>0.27859999999999996</v>
      </c>
      <c r="AQ30" s="9">
        <f>(V30-MIN($V$2:$V$126))/(MAX($V$2:$V$126)-MIN($V$2:$V$126))</f>
        <v>0</v>
      </c>
      <c r="AR30" s="9">
        <f>1-(Y30-MIN($Y$2:$Y$126))/(MAX($Y$2:$Y$126)-MIN($Y$2:$Y$126))</f>
        <v>0</v>
      </c>
      <c r="AS30" s="9">
        <f>1-(AA30-MIN($AA$2:$AA$126))/(MAX($AA$2:$AA$126)-MIN($AA$2:$AA$126))</f>
        <v>0.82502113271344046</v>
      </c>
      <c r="AT30" s="9">
        <f>(K30-MIN($K$2:$K$126))/(MAX($K$2:$K$126)-MIN($K$2:$K$126))</f>
        <v>0.39393939393939392</v>
      </c>
      <c r="AU30" s="9">
        <f>(L30-MIN($L$2:$L$126))/(MAX($L$2:$L$126)-MIN($L$2:$L$126))</f>
        <v>1</v>
      </c>
      <c r="AV30" s="8">
        <f>(AI30*(Tablero!$B$5/100)+AJ30*(Tablero!$B$6/100))*(Tablero!$B$4/100)</f>
        <v>0.18345070422535209</v>
      </c>
      <c r="AW30" s="8">
        <f>(AK30*(Tablero!$B$8/100))*(Tablero!$B$7/100)</f>
        <v>0.10070628348757914</v>
      </c>
      <c r="AX30" s="8">
        <f>(AL30*(Tablero!$B$10/100)+AM30*(Tablero!$B$11/100)+AN30*(Tablero!$B$12/100)+AO30*(Tablero!$B$13/100)+AP30*(Tablero!$B$14/100))*(Tablero!$B$9/100)</f>
        <v>4.2186837215588614E-2</v>
      </c>
      <c r="AY30" s="8">
        <f>(AQ30*(Tablero!$B$16/100)+AR30*(Tablero!$B$17/100)+AS30*(Tablero!$B$18/100))*(Tablero!$B$15/100)</f>
        <v>2.0625528317836012E-2</v>
      </c>
      <c r="AZ30" s="8">
        <f>(AT30*(Tablero!$B$20/100)+AU30*(Tablero!$B$21/100))*(Tablero!$B$19/100)</f>
        <v>3.4848484848484851E-2</v>
      </c>
    </row>
    <row r="31" spans="2:52" hidden="1" x14ac:dyDescent="0.4">
      <c r="B31" t="s">
        <v>99</v>
      </c>
      <c r="C31" t="s">
        <v>100</v>
      </c>
      <c r="D31" s="3">
        <v>11584</v>
      </c>
      <c r="E31" s="3">
        <v>90</v>
      </c>
      <c r="F31">
        <v>24</v>
      </c>
      <c r="G31">
        <v>22</v>
      </c>
      <c r="H31">
        <v>35.200000000000003</v>
      </c>
      <c r="I31">
        <v>73.3</v>
      </c>
      <c r="J31">
        <v>12</v>
      </c>
      <c r="K31">
        <v>0.13</v>
      </c>
      <c r="L31">
        <v>52</v>
      </c>
      <c r="M31">
        <v>0</v>
      </c>
      <c r="N31">
        <v>85.380667869999982</v>
      </c>
      <c r="O31" s="3">
        <v>5.69</v>
      </c>
      <c r="P31">
        <v>15</v>
      </c>
      <c r="Q31">
        <v>73.211111111111109</v>
      </c>
      <c r="R31">
        <v>47.78</v>
      </c>
      <c r="S31">
        <v>42.22</v>
      </c>
      <c r="T31">
        <v>44.44</v>
      </c>
      <c r="U31">
        <v>47.78</v>
      </c>
      <c r="V31" s="3">
        <v>345</v>
      </c>
      <c r="W31">
        <v>6</v>
      </c>
      <c r="X31">
        <v>6</v>
      </c>
      <c r="Y31">
        <v>0</v>
      </c>
      <c r="Z31">
        <v>0</v>
      </c>
      <c r="AA31" s="3">
        <v>51.8</v>
      </c>
      <c r="AC31">
        <v>52157.1</v>
      </c>
      <c r="AD31">
        <v>0.12</v>
      </c>
      <c r="AE31">
        <v>45.83</v>
      </c>
      <c r="AF31">
        <v>3.02</v>
      </c>
      <c r="AG31" s="10">
        <f>AV31+AW31+AX31+AY31+AZ31</f>
        <v>0.46047968938353029</v>
      </c>
      <c r="AH31" t="s">
        <v>48</v>
      </c>
      <c r="AI31" s="9">
        <f>(G31-MIN($G$2:$G$126))/(MAX($G$2:$G$126)-MIN($G$2:$G$126))</f>
        <v>0.36384976525821594</v>
      </c>
      <c r="AJ31" s="9">
        <f>(N31-MIN($N$2:$N$126))/(MAX($N$2:$N$126)-MIN($N$2:$N$126))</f>
        <v>1.8007862099092347E-3</v>
      </c>
      <c r="AK31" s="9">
        <f>(O31-MIN($O$2:$O$126))/(MAX($O$2:$O$126)-MIN($O$2:$O$126))</f>
        <v>0.27715538236726744</v>
      </c>
      <c r="AL31" s="9">
        <f>(S31-MIN($S$2:$S$126))/(MAX($S$2:$S$126)-MIN($S$2:$S$126))</f>
        <v>0.73766294227188078</v>
      </c>
      <c r="AM31" s="9">
        <f>(T31-MIN($T$2:$T$126))/(MAX($T$2:$T$126)-MIN($T$2:$T$126))</f>
        <v>0.36309952470113782</v>
      </c>
      <c r="AN31" s="9">
        <f>1-(AC31-MIN($AC$2:$AC$126))/(MAX($AC$2:$AC$126)-MIN($AC$2:$AC$126))</f>
        <v>0.62580690493720414</v>
      </c>
      <c r="AO31" s="9">
        <f>(AD31-MIN($AD$2:$AD$126))/(MAX($AD$2:$AD$126)-MIN($AD$2:$AD$126))</f>
        <v>7.1856287425149698E-2</v>
      </c>
      <c r="AP31" s="9">
        <f>1-(AE31-MIN($AE$2:$AE$126))/(MAX($AE$2:$AE$126)-MIN($AE$2:$AE$126))</f>
        <v>0.54170000000000007</v>
      </c>
      <c r="AQ31" s="9">
        <f>(V31-MIN($V$2:$V$126))/(MAX($V$2:$V$126)-MIN($V$2:$V$126))</f>
        <v>0.95833333333333337</v>
      </c>
      <c r="AR31" s="9">
        <f>1-(Y31-MIN($Y$2:$Y$126))/(MAX($Y$2:$Y$126)-MIN($Y$2:$Y$126))</f>
        <v>1</v>
      </c>
      <c r="AS31" s="9">
        <f>1-(AA31-MIN($AA$2:$AA$126))/(MAX($AA$2:$AA$126)-MIN($AA$2:$AA$126))</f>
        <v>0.62214708368554528</v>
      </c>
      <c r="AT31" s="9">
        <f>(K31-MIN($K$2:$K$126))/(MAX($K$2:$K$126)-MIN($K$2:$K$126))</f>
        <v>0.24242424242424243</v>
      </c>
      <c r="AU31" s="9">
        <f>(L31-MIN($L$2:$L$126))/(MAX($L$2:$L$126)-MIN($L$2:$L$126))</f>
        <v>6.2875888463641335E-3</v>
      </c>
      <c r="AV31" s="8">
        <f>(AI31*(Tablero!$B$5/100)+AJ31*(Tablero!$B$6/100))*(Tablero!$B$4/100)</f>
        <v>5.4757543409723317E-2</v>
      </c>
      <c r="AW31" s="8">
        <f>(AK31*(Tablero!$B$8/100))*(Tablero!$B$7/100)</f>
        <v>6.9288845591816861E-2</v>
      </c>
      <c r="AX31" s="8">
        <f>(AL31*(Tablero!$B$10/100)+AM31*(Tablero!$B$11/100)+AN31*(Tablero!$B$12/100)+AO31*(Tablero!$B$13/100)+AP31*(Tablero!$B$14/100))*(Tablero!$B$9/100)</f>
        <v>9.3828494174752974E-2</v>
      </c>
      <c r="AY31" s="8">
        <f>(AQ31*(Tablero!$B$16/100)+AR31*(Tablero!$B$17/100)+AS31*(Tablero!$B$18/100))*(Tablero!$B$15/100)</f>
        <v>0.23638701042547194</v>
      </c>
      <c r="AZ31" s="8">
        <f>(AT31*(Tablero!$B$20/100)+AU31*(Tablero!$B$21/100))*(Tablero!$B$19/100)</f>
        <v>6.2177957817651647E-3</v>
      </c>
    </row>
    <row r="32" spans="2:52" hidden="1" x14ac:dyDescent="0.4">
      <c r="B32" t="s">
        <v>101</v>
      </c>
      <c r="C32" t="s">
        <v>102</v>
      </c>
      <c r="D32" s="3">
        <v>40661</v>
      </c>
      <c r="E32" s="3">
        <v>413</v>
      </c>
      <c r="F32">
        <v>154</v>
      </c>
      <c r="G32">
        <v>28.1</v>
      </c>
      <c r="H32">
        <v>62.9</v>
      </c>
      <c r="I32">
        <v>62.7</v>
      </c>
      <c r="J32">
        <v>96</v>
      </c>
      <c r="K32">
        <v>0.23</v>
      </c>
      <c r="L32">
        <v>203</v>
      </c>
      <c r="M32">
        <v>4</v>
      </c>
      <c r="N32">
        <v>673.01272552999978</v>
      </c>
      <c r="O32" s="3">
        <v>7.01</v>
      </c>
      <c r="P32">
        <v>96</v>
      </c>
      <c r="Q32">
        <v>70.15980629539952</v>
      </c>
      <c r="R32">
        <v>48.91</v>
      </c>
      <c r="S32">
        <v>36.56</v>
      </c>
      <c r="T32">
        <v>44.55</v>
      </c>
      <c r="U32">
        <v>45.76</v>
      </c>
      <c r="V32" s="3">
        <v>360</v>
      </c>
      <c r="W32">
        <v>11</v>
      </c>
      <c r="X32">
        <v>10</v>
      </c>
      <c r="Y32">
        <v>1</v>
      </c>
      <c r="Z32">
        <v>0</v>
      </c>
      <c r="AA32" s="3">
        <v>27.1</v>
      </c>
      <c r="AB32">
        <v>125</v>
      </c>
      <c r="AC32">
        <v>55091.31</v>
      </c>
      <c r="AD32">
        <v>0.3</v>
      </c>
      <c r="AE32">
        <v>42.4</v>
      </c>
      <c r="AF32">
        <v>1.92</v>
      </c>
      <c r="AG32" s="10">
        <f>AV32+AW32+AX32+AY32+AZ32</f>
        <v>0.51721024042547359</v>
      </c>
      <c r="AH32" t="s">
        <v>41</v>
      </c>
      <c r="AI32" s="9">
        <f>(G32-MIN($G$2:$G$126))/(MAX($G$2:$G$126)-MIN($G$2:$G$126))</f>
        <v>0.50704225352112675</v>
      </c>
      <c r="AJ32" s="9">
        <f>(N32-MIN($N$2:$N$126))/(MAX($N$2:$N$126)-MIN($N$2:$N$126))</f>
        <v>1.4194689096051137E-2</v>
      </c>
      <c r="AK32" s="9">
        <f>(O32-MIN($O$2:$O$126))/(MAX($O$2:$O$126)-MIN($O$2:$O$126))</f>
        <v>0.3414515343399902</v>
      </c>
      <c r="AL32" s="9">
        <f>(S32-MIN($S$2:$S$126))/(MAX($S$2:$S$126)-MIN($S$2:$S$126))</f>
        <v>0.60591247672253257</v>
      </c>
      <c r="AM32" s="9">
        <f>(T32-MIN($T$2:$T$126))/(MAX($T$2:$T$126)-MIN($T$2:$T$126))</f>
        <v>0.36468385424168226</v>
      </c>
      <c r="AN32" s="9">
        <f>1-(AC32-MIN($AC$2:$AC$126))/(MAX($AC$2:$AC$126)-MIN($AC$2:$AC$126))</f>
        <v>0.5959267530420278</v>
      </c>
      <c r="AO32" s="9">
        <f>(AD32-MIN($AD$2:$AD$126))/(MAX($AD$2:$AD$126)-MIN($AD$2:$AD$126))</f>
        <v>0.17964071856287425</v>
      </c>
      <c r="AP32" s="9">
        <f>1-(AE32-MIN($AE$2:$AE$126))/(MAX($AE$2:$AE$126)-MIN($AE$2:$AE$126))</f>
        <v>0.57600000000000007</v>
      </c>
      <c r="AQ32" s="9">
        <f>(V32-MIN($V$2:$V$126))/(MAX($V$2:$V$126)-MIN($V$2:$V$126))</f>
        <v>1</v>
      </c>
      <c r="AR32" s="9">
        <f>1-(Y32-MIN($Y$2:$Y$126))/(MAX($Y$2:$Y$126)-MIN($Y$2:$Y$126))</f>
        <v>0.98958333333333337</v>
      </c>
      <c r="AS32" s="9">
        <f>1-(AA32-MIN($AA$2:$AA$126))/(MAX($AA$2:$AA$126)-MIN($AA$2:$AA$126))</f>
        <v>0.83093829247675399</v>
      </c>
      <c r="AT32" s="9">
        <f>(K32-MIN($K$2:$K$126))/(MAX($K$2:$K$126)-MIN($K$2:$K$126))</f>
        <v>0.54545454545454541</v>
      </c>
      <c r="AU32" s="9">
        <f>(L32-MIN($L$2:$L$126))/(MAX($L$2:$L$126)-MIN($L$2:$L$126))</f>
        <v>2.6927282668124657E-2</v>
      </c>
      <c r="AV32" s="8">
        <f>(AI32*(Tablero!$B$5/100)+AJ32*(Tablero!$B$6/100))*(Tablero!$B$4/100)</f>
        <v>7.747580693777413E-2</v>
      </c>
      <c r="AW32" s="8">
        <f>(AK32*(Tablero!$B$8/100))*(Tablero!$B$7/100)</f>
        <v>8.5362883584997551E-2</v>
      </c>
      <c r="AX32" s="8">
        <f>(AL32*(Tablero!$B$10/100)+AM32*(Tablero!$B$11/100)+AN32*(Tablero!$B$12/100)+AO32*(Tablero!$B$13/100)+AP32*(Tablero!$B$14/100))*(Tablero!$B$9/100)</f>
        <v>9.5590630221049633E-2</v>
      </c>
      <c r="AY32" s="8">
        <f>(AQ32*(Tablero!$B$16/100)+AR32*(Tablero!$B$17/100)+AS32*(Tablero!$B$18/100))*(Tablero!$B$15/100)</f>
        <v>0.24447137397858551</v>
      </c>
      <c r="AZ32" s="8">
        <f>(AT32*(Tablero!$B$20/100)+AU32*(Tablero!$B$21/100))*(Tablero!$B$19/100)</f>
        <v>1.4309545703066751E-2</v>
      </c>
    </row>
    <row r="33" spans="2:52" hidden="1" x14ac:dyDescent="0.4">
      <c r="B33" t="s">
        <v>103</v>
      </c>
      <c r="C33" t="s">
        <v>104</v>
      </c>
      <c r="D33" s="3">
        <v>7847</v>
      </c>
      <c r="E33" s="3">
        <v>66</v>
      </c>
      <c r="F33">
        <v>29</v>
      </c>
      <c r="G33">
        <v>23.8</v>
      </c>
      <c r="H33">
        <v>62.7</v>
      </c>
      <c r="I33">
        <v>56.1</v>
      </c>
      <c r="J33">
        <v>24</v>
      </c>
      <c r="K33">
        <v>0.36</v>
      </c>
      <c r="L33">
        <v>35</v>
      </c>
      <c r="M33">
        <v>0</v>
      </c>
      <c r="N33">
        <v>137.32750902000001</v>
      </c>
      <c r="O33" s="3">
        <v>5.97</v>
      </c>
      <c r="P33">
        <v>23</v>
      </c>
      <c r="Q33">
        <v>71.030303030303031</v>
      </c>
      <c r="R33">
        <v>43.94</v>
      </c>
      <c r="S33">
        <v>43.94</v>
      </c>
      <c r="T33">
        <v>43.94</v>
      </c>
      <c r="U33">
        <v>62.12</v>
      </c>
      <c r="V33" s="3">
        <v>200</v>
      </c>
      <c r="W33">
        <v>2</v>
      </c>
      <c r="X33">
        <v>2</v>
      </c>
      <c r="Y33">
        <v>0</v>
      </c>
      <c r="Z33">
        <v>0</v>
      </c>
      <c r="AA33" s="3">
        <v>25.5</v>
      </c>
      <c r="AC33">
        <v>52157.1</v>
      </c>
      <c r="AD33">
        <v>0.12</v>
      </c>
      <c r="AE33">
        <v>45.83</v>
      </c>
      <c r="AF33">
        <v>3.02</v>
      </c>
      <c r="AG33" s="10">
        <f>AV33+AW33+AX33+AY33+AZ33</f>
        <v>0.45335185586169396</v>
      </c>
      <c r="AH33" t="s">
        <v>48</v>
      </c>
      <c r="AI33" s="9">
        <f>(G33-MIN($G$2:$G$126))/(MAX($G$2:$G$126)-MIN($G$2:$G$126))</f>
        <v>0.4061032863849765</v>
      </c>
      <c r="AJ33" s="9">
        <f>(N33-MIN($N$2:$N$126))/(MAX($N$2:$N$126)-MIN($N$2:$N$126))</f>
        <v>2.8964107526183269E-3</v>
      </c>
      <c r="AK33" s="9">
        <f>(O33-MIN($O$2:$O$126))/(MAX($O$2:$O$126)-MIN($O$2:$O$126))</f>
        <v>0.29079396005845104</v>
      </c>
      <c r="AL33" s="9">
        <f>(S33-MIN($S$2:$S$126))/(MAX($S$2:$S$126)-MIN($S$2:$S$126))</f>
        <v>0.77770018621973924</v>
      </c>
      <c r="AM33" s="9">
        <f>(T33-MIN($T$2:$T$126))/(MAX($T$2:$T$126)-MIN($T$2:$T$126))</f>
        <v>0.35589802678957222</v>
      </c>
      <c r="AN33" s="9">
        <f>1-(AC33-MIN($AC$2:$AC$126))/(MAX($AC$2:$AC$126)-MIN($AC$2:$AC$126))</f>
        <v>0.62580690493720414</v>
      </c>
      <c r="AO33" s="9">
        <f>(AD33-MIN($AD$2:$AD$126))/(MAX($AD$2:$AD$126)-MIN($AD$2:$AD$126))</f>
        <v>7.1856287425149698E-2</v>
      </c>
      <c r="AP33" s="9">
        <f>1-(AE33-MIN($AE$2:$AE$126))/(MAX($AE$2:$AE$126)-MIN($AE$2:$AE$126))</f>
        <v>0.54170000000000007</v>
      </c>
      <c r="AQ33" s="9">
        <f>(V33-MIN($V$2:$V$126))/(MAX($V$2:$V$126)-MIN($V$2:$V$126))</f>
        <v>0.55555555555555558</v>
      </c>
      <c r="AR33" s="9">
        <f>1-(Y33-MIN($Y$2:$Y$126))/(MAX($Y$2:$Y$126)-MIN($Y$2:$Y$126))</f>
        <v>1</v>
      </c>
      <c r="AS33" s="9">
        <f>1-(AA33-MIN($AA$2:$AA$126))/(MAX($AA$2:$AA$126)-MIN($AA$2:$AA$126))</f>
        <v>0.84446322907861371</v>
      </c>
      <c r="AT33" s="9">
        <f>(K33-MIN($K$2:$K$126))/(MAX($K$2:$K$126)-MIN($K$2:$K$126))</f>
        <v>0.93939393939393934</v>
      </c>
      <c r="AU33" s="9">
        <f>(L33-MIN($L$2:$L$126))/(MAX($L$2:$L$126)-MIN($L$2:$L$126))</f>
        <v>3.9639147074904315E-3</v>
      </c>
      <c r="AV33" s="8">
        <f>(AI33*(Tablero!$B$5/100)+AJ33*(Tablero!$B$6/100))*(Tablero!$B$4/100)</f>
        <v>6.1205134033008306E-2</v>
      </c>
      <c r="AW33" s="8">
        <f>(AK33*(Tablero!$B$8/100))*(Tablero!$B$7/100)</f>
        <v>7.269849001461276E-2</v>
      </c>
      <c r="AX33" s="8">
        <f>(AL33*(Tablero!$B$10/100)+AM33*(Tablero!$B$11/100)+AN33*(Tablero!$B$12/100)+AO33*(Tablero!$B$13/100)+AP33*(Tablero!$B$14/100))*(Tablero!$B$9/100)</f>
        <v>9.4197149179016212E-2</v>
      </c>
      <c r="AY33" s="8">
        <f>(AQ33*(Tablero!$B$16/100)+AR33*(Tablero!$B$17/100)+AS33*(Tablero!$B$18/100))*(Tablero!$B$15/100)</f>
        <v>0.20166713628252089</v>
      </c>
      <c r="AZ33" s="8">
        <f>(AT33*(Tablero!$B$20/100)+AU33*(Tablero!$B$21/100))*(Tablero!$B$19/100)</f>
        <v>2.3583946352535745E-2</v>
      </c>
    </row>
    <row r="34" spans="2:52" hidden="1" x14ac:dyDescent="0.4">
      <c r="B34" t="s">
        <v>105</v>
      </c>
      <c r="C34" t="s">
        <v>106</v>
      </c>
      <c r="D34" s="3">
        <v>4457</v>
      </c>
      <c r="E34" s="3">
        <v>53</v>
      </c>
      <c r="F34">
        <v>21</v>
      </c>
      <c r="G34">
        <v>33.9</v>
      </c>
      <c r="H34">
        <v>80.5</v>
      </c>
      <c r="I34">
        <v>60.4</v>
      </c>
      <c r="J34">
        <v>6</v>
      </c>
      <c r="K34">
        <v>0.11</v>
      </c>
      <c r="L34">
        <v>39</v>
      </c>
      <c r="M34">
        <v>1</v>
      </c>
      <c r="N34">
        <v>116.97524376</v>
      </c>
      <c r="O34" s="3">
        <v>6.16</v>
      </c>
      <c r="P34">
        <v>19</v>
      </c>
      <c r="Q34">
        <v>72.433962264150949</v>
      </c>
      <c r="R34">
        <v>50.94</v>
      </c>
      <c r="S34">
        <v>24.53</v>
      </c>
      <c r="T34">
        <v>69.81</v>
      </c>
      <c r="U34">
        <v>71.7</v>
      </c>
      <c r="V34" s="3">
        <v>105</v>
      </c>
      <c r="W34">
        <v>2</v>
      </c>
      <c r="X34">
        <v>2</v>
      </c>
      <c r="Y34">
        <v>0</v>
      </c>
      <c r="Z34">
        <v>0</v>
      </c>
      <c r="AA34" s="3">
        <v>44.9</v>
      </c>
      <c r="AB34">
        <v>22</v>
      </c>
      <c r="AC34">
        <v>56049.68</v>
      </c>
      <c r="AD34">
        <v>0.5</v>
      </c>
      <c r="AE34">
        <v>27.27</v>
      </c>
      <c r="AF34">
        <v>8.7200000000000006</v>
      </c>
      <c r="AG34" s="10">
        <f>AV34+AW34+AX34+AY34+AZ34</f>
        <v>0.4736977610350418</v>
      </c>
      <c r="AH34" t="s">
        <v>41</v>
      </c>
      <c r="AI34" s="9">
        <f>(G34-MIN($G$2:$G$126))/(MAX($G$2:$G$126)-MIN($G$2:$G$126))</f>
        <v>0.64319248826291076</v>
      </c>
      <c r="AJ34" s="9">
        <f>(N34-MIN($N$2:$N$126))/(MAX($N$2:$N$126)-MIN($N$2:$N$126))</f>
        <v>2.4671557522191038E-3</v>
      </c>
      <c r="AK34" s="9">
        <f>(O34-MIN($O$2:$O$126))/(MAX($O$2:$O$126)-MIN($O$2:$O$126))</f>
        <v>0.30004870920603993</v>
      </c>
      <c r="AL34" s="9">
        <f>(S34-MIN($S$2:$S$126))/(MAX($S$2:$S$126)-MIN($S$2:$S$126))</f>
        <v>0.32588454376163878</v>
      </c>
      <c r="AM34" s="9">
        <f>(T34-MIN($T$2:$T$126))/(MAX($T$2:$T$126)-MIN($T$2:$T$126))</f>
        <v>0.72850352873397672</v>
      </c>
      <c r="AN34" s="9">
        <f>1-(AC34-MIN($AC$2:$AC$126))/(MAX($AC$2:$AC$126)-MIN($AC$2:$AC$126))</f>
        <v>0.5861673148382931</v>
      </c>
      <c r="AO34" s="9">
        <f>(AD34-MIN($AD$2:$AD$126))/(MAX($AD$2:$AD$126)-MIN($AD$2:$AD$126))</f>
        <v>0.29940119760479045</v>
      </c>
      <c r="AP34" s="9">
        <f>1-(AE34-MIN($AE$2:$AE$126))/(MAX($AE$2:$AE$126)-MIN($AE$2:$AE$126))</f>
        <v>0.72730000000000006</v>
      </c>
      <c r="AQ34" s="9">
        <f>(V34-MIN($V$2:$V$126))/(MAX($V$2:$V$126)-MIN($V$2:$V$126))</f>
        <v>0.29166666666666669</v>
      </c>
      <c r="AR34" s="9">
        <f>1-(Y34-MIN($Y$2:$Y$126))/(MAX($Y$2:$Y$126)-MIN($Y$2:$Y$126))</f>
        <v>1</v>
      </c>
      <c r="AS34" s="9">
        <f>1-(AA34-MIN($AA$2:$AA$126))/(MAX($AA$2:$AA$126)-MIN($AA$2:$AA$126))</f>
        <v>0.68047337278106512</v>
      </c>
      <c r="AT34" s="9">
        <f>(K34-MIN($K$2:$K$126))/(MAX($K$2:$K$126)-MIN($K$2:$K$126))</f>
        <v>0.1818181818181818</v>
      </c>
      <c r="AU34" s="9">
        <f>(L34-MIN($L$2:$L$126))/(MAX($L$2:$L$126)-MIN($L$2:$L$126))</f>
        <v>4.5106615636960092E-3</v>
      </c>
      <c r="AV34" s="8">
        <f>(AI34*(Tablero!$B$5/100)+AJ34*(Tablero!$B$6/100))*(Tablero!$B$4/100)</f>
        <v>9.6725588814658522E-2</v>
      </c>
      <c r="AW34" s="8">
        <f>(AK34*(Tablero!$B$8/100))*(Tablero!$B$7/100)</f>
        <v>7.5012177301509983E-2</v>
      </c>
      <c r="AX34" s="8">
        <f>(AL34*(Tablero!$B$10/100)+AM34*(Tablero!$B$11/100)+AN34*(Tablero!$B$12/100)+AO34*(Tablero!$B$13/100)+AP34*(Tablero!$B$14/100))*(Tablero!$B$9/100)</f>
        <v>0.12612327284813304</v>
      </c>
      <c r="AY34" s="8">
        <f>(AQ34*(Tablero!$B$16/100)+AR34*(Tablero!$B$17/100)+AS34*(Tablero!$B$18/100))*(Tablero!$B$15/100)</f>
        <v>0.1711785009861933</v>
      </c>
      <c r="AZ34" s="8">
        <f>(AT34*(Tablero!$B$20/100)+AU34*(Tablero!$B$21/100))*(Tablero!$B$19/100)</f>
        <v>4.6582210845469455E-3</v>
      </c>
    </row>
    <row r="35" spans="2:52" hidden="1" x14ac:dyDescent="0.4">
      <c r="B35" t="s">
        <v>107</v>
      </c>
      <c r="C35" t="s">
        <v>108</v>
      </c>
      <c r="D35" s="3">
        <v>3762</v>
      </c>
      <c r="E35" s="3">
        <v>41</v>
      </c>
      <c r="F35">
        <v>23</v>
      </c>
      <c r="G35">
        <v>30.6</v>
      </c>
      <c r="H35">
        <v>102.9</v>
      </c>
      <c r="I35">
        <v>43.9</v>
      </c>
      <c r="J35">
        <v>12</v>
      </c>
      <c r="K35">
        <v>0.28999999999999998</v>
      </c>
      <c r="L35">
        <v>24</v>
      </c>
      <c r="M35">
        <v>0</v>
      </c>
      <c r="N35">
        <v>129.93644527999999</v>
      </c>
      <c r="O35" s="3">
        <v>6.19</v>
      </c>
      <c r="P35">
        <v>21</v>
      </c>
      <c r="Q35">
        <v>73.390243902439025</v>
      </c>
      <c r="R35">
        <v>58.54</v>
      </c>
      <c r="S35">
        <v>24.39</v>
      </c>
      <c r="T35">
        <v>75.61</v>
      </c>
      <c r="U35">
        <v>82.93</v>
      </c>
      <c r="V35" s="3">
        <v>175</v>
      </c>
      <c r="W35">
        <v>2</v>
      </c>
      <c r="X35">
        <v>2</v>
      </c>
      <c r="Y35">
        <v>0</v>
      </c>
      <c r="Z35">
        <v>0</v>
      </c>
      <c r="AA35" s="3">
        <v>53.2</v>
      </c>
      <c r="AB35">
        <v>44</v>
      </c>
      <c r="AC35">
        <v>58367.6</v>
      </c>
      <c r="AD35">
        <v>0.14000000000000001</v>
      </c>
      <c r="AE35">
        <v>50</v>
      </c>
      <c r="AF35">
        <v>5.99</v>
      </c>
      <c r="AG35" s="10">
        <f>AV35+AW35+AX35+AY35+AZ35</f>
        <v>0.47572583749094638</v>
      </c>
      <c r="AH35" t="s">
        <v>41</v>
      </c>
      <c r="AI35" s="9">
        <f>(G35-MIN($G$2:$G$126))/(MAX($G$2:$G$126)-MIN($G$2:$G$126))</f>
        <v>0.56572769953051649</v>
      </c>
      <c r="AJ35" s="9">
        <f>(N35-MIN($N$2:$N$126))/(MAX($N$2:$N$126)-MIN($N$2:$N$126))</f>
        <v>2.7405238757457133E-3</v>
      </c>
      <c r="AK35" s="9">
        <f>(O35-MIN($O$2:$O$126))/(MAX($O$2:$O$126)-MIN($O$2:$O$126))</f>
        <v>0.30150998538723817</v>
      </c>
      <c r="AL35" s="9">
        <f>(S35-MIN($S$2:$S$126))/(MAX($S$2:$S$126)-MIN($S$2:$S$126))</f>
        <v>0.32262569832402238</v>
      </c>
      <c r="AM35" s="9">
        <f>(T35-MIN($T$2:$T$126))/(MAX($T$2:$T$126)-MIN($T$2:$T$126))</f>
        <v>0.81204090450813771</v>
      </c>
      <c r="AN35" s="9">
        <f>1-(AC35-MIN($AC$2:$AC$126))/(MAX($AC$2:$AC$126)-MIN($AC$2:$AC$126))</f>
        <v>0.56256307326019628</v>
      </c>
      <c r="AO35" s="9">
        <f>(AD35-MIN($AD$2:$AD$126))/(MAX($AD$2:$AD$126)-MIN($AD$2:$AD$126))</f>
        <v>8.3832335329341326E-2</v>
      </c>
      <c r="AP35" s="9">
        <f>1-(AE35-MIN($AE$2:$AE$126))/(MAX($AE$2:$AE$126)-MIN($AE$2:$AE$126))</f>
        <v>0.5</v>
      </c>
      <c r="AQ35" s="9">
        <f>(V35-MIN($V$2:$V$126))/(MAX($V$2:$V$126)-MIN($V$2:$V$126))</f>
        <v>0.4861111111111111</v>
      </c>
      <c r="AR35" s="9">
        <f>1-(Y35-MIN($Y$2:$Y$126))/(MAX($Y$2:$Y$126)-MIN($Y$2:$Y$126))</f>
        <v>1</v>
      </c>
      <c r="AS35" s="9">
        <f>1-(AA35-MIN($AA$2:$AA$126))/(MAX($AA$2:$AA$126)-MIN($AA$2:$AA$126))</f>
        <v>0.61031276415891811</v>
      </c>
      <c r="AT35" s="9">
        <f>(K35-MIN($K$2:$K$126))/(MAX($K$2:$K$126)-MIN($K$2:$K$126))</f>
        <v>0.72727272727272718</v>
      </c>
      <c r="AU35" s="9">
        <f>(L35-MIN($L$2:$L$126))/(MAX($L$2:$L$126)-MIN($L$2:$L$126))</f>
        <v>2.4603608529250955E-3</v>
      </c>
      <c r="AV35" s="8">
        <f>(AI35*(Tablero!$B$5/100)+AJ35*(Tablero!$B$6/100))*(Tablero!$B$4/100)</f>
        <v>8.5133207317152043E-2</v>
      </c>
      <c r="AW35" s="8">
        <f>(AK35*(Tablero!$B$8/100))*(Tablero!$B$7/100)</f>
        <v>7.5377496346809542E-2</v>
      </c>
      <c r="AX35" s="8">
        <f>(AL35*(Tablero!$B$10/100)+AM35*(Tablero!$B$11/100)+AN35*(Tablero!$B$12/100)+AO35*(Tablero!$B$13/100)+AP35*(Tablero!$B$14/100))*(Tablero!$B$9/100)</f>
        <v>0.10810287640875944</v>
      </c>
      <c r="AY35" s="8">
        <f>(AQ35*(Tablero!$B$16/100)+AR35*(Tablero!$B$17/100)+AS35*(Tablero!$B$18/100))*(Tablero!$B$15/100)</f>
        <v>0.18886893021508405</v>
      </c>
      <c r="AZ35" s="8">
        <f>(AT35*(Tablero!$B$20/100)+AU35*(Tablero!$B$21/100))*(Tablero!$B$19/100)</f>
        <v>1.8243327203141309E-2</v>
      </c>
    </row>
    <row r="36" spans="2:52" hidden="1" x14ac:dyDescent="0.4">
      <c r="B36" t="s">
        <v>109</v>
      </c>
      <c r="C36" t="s">
        <v>110</v>
      </c>
      <c r="D36" s="3">
        <v>14192</v>
      </c>
      <c r="E36" s="3">
        <v>189</v>
      </c>
      <c r="F36">
        <v>74</v>
      </c>
      <c r="G36">
        <v>37.200000000000003</v>
      </c>
      <c r="H36">
        <v>87.4</v>
      </c>
      <c r="I36">
        <v>60.8</v>
      </c>
      <c r="J36">
        <v>47</v>
      </c>
      <c r="K36">
        <v>0.25</v>
      </c>
      <c r="L36">
        <v>77</v>
      </c>
      <c r="M36">
        <v>1</v>
      </c>
      <c r="N36">
        <v>271.04326259999988</v>
      </c>
      <c r="O36" s="3">
        <v>5.65</v>
      </c>
      <c r="P36">
        <v>48</v>
      </c>
      <c r="Q36">
        <v>72.957671957671963</v>
      </c>
      <c r="R36">
        <v>47.09</v>
      </c>
      <c r="S36">
        <v>47.09</v>
      </c>
      <c r="T36">
        <v>41.27</v>
      </c>
      <c r="U36">
        <v>47.09</v>
      </c>
      <c r="V36" s="3">
        <v>75</v>
      </c>
      <c r="W36">
        <v>5</v>
      </c>
      <c r="X36">
        <v>5</v>
      </c>
      <c r="Y36">
        <v>0</v>
      </c>
      <c r="Z36">
        <v>0</v>
      </c>
      <c r="AA36" s="3">
        <v>35.200000000000003</v>
      </c>
      <c r="AB36">
        <v>16</v>
      </c>
      <c r="AC36">
        <v>85687.34</v>
      </c>
      <c r="AD36">
        <v>0</v>
      </c>
      <c r="AE36">
        <v>81.25</v>
      </c>
      <c r="AF36">
        <v>4.2300000000000004</v>
      </c>
      <c r="AG36" s="10">
        <f>AV36+AW36+AX36+AY36+AZ36</f>
        <v>0.41451531032512734</v>
      </c>
      <c r="AH36" t="s">
        <v>41</v>
      </c>
      <c r="AI36" s="9">
        <f>(G36-MIN($G$2:$G$126))/(MAX($G$2:$G$126)-MIN($G$2:$G$126))</f>
        <v>0.72065727699530524</v>
      </c>
      <c r="AJ36" s="9">
        <f>(N36-MIN($N$2:$N$126))/(MAX($N$2:$N$126)-MIN($N$2:$N$126))</f>
        <v>5.7166450176057556E-3</v>
      </c>
      <c r="AK36" s="9">
        <f>(O36-MIN($O$2:$O$126))/(MAX($O$2:$O$126)-MIN($O$2:$O$126))</f>
        <v>0.27520701412566978</v>
      </c>
      <c r="AL36" s="9">
        <f>(S36-MIN($S$2:$S$126))/(MAX($S$2:$S$126)-MIN($S$2:$S$126))</f>
        <v>0.85102420856610805</v>
      </c>
      <c r="AM36" s="9">
        <f>(T36-MIN($T$2:$T$126))/(MAX($T$2:$T$126)-MIN($T$2:$T$126))</f>
        <v>0.31744202794181198</v>
      </c>
      <c r="AN36" s="9">
        <f>1-(AC36-MIN($AC$2:$AC$126))/(MAX($AC$2:$AC$126)-MIN($AC$2:$AC$126))</f>
        <v>0.28435599846434756</v>
      </c>
      <c r="AO36" s="9">
        <f>(AD36-MIN($AD$2:$AD$126))/(MAX($AD$2:$AD$126)-MIN($AD$2:$AD$126))</f>
        <v>0</v>
      </c>
      <c r="AP36" s="9">
        <f>1-(AE36-MIN($AE$2:$AE$126))/(MAX($AE$2:$AE$126)-MIN($AE$2:$AE$126))</f>
        <v>0.1875</v>
      </c>
      <c r="AQ36" s="9">
        <f>(V36-MIN($V$2:$V$126))/(MAX($V$2:$V$126)-MIN($V$2:$V$126))</f>
        <v>0.20833333333333334</v>
      </c>
      <c r="AR36" s="9">
        <f>1-(Y36-MIN($Y$2:$Y$126))/(MAX($Y$2:$Y$126)-MIN($Y$2:$Y$126))</f>
        <v>1</v>
      </c>
      <c r="AS36" s="9">
        <f>1-(AA36-MIN($AA$2:$AA$126))/(MAX($AA$2:$AA$126)-MIN($AA$2:$AA$126))</f>
        <v>0.76246830092983942</v>
      </c>
      <c r="AT36" s="9">
        <f>(K36-MIN($K$2:$K$126))/(MAX($K$2:$K$126)-MIN($K$2:$K$126))</f>
        <v>0.60606060606060608</v>
      </c>
      <c r="AU36" s="9">
        <f>(L36-MIN($L$2:$L$126))/(MAX($L$2:$L$126)-MIN($L$2:$L$126))</f>
        <v>9.7047566976489891E-3</v>
      </c>
      <c r="AV36" s="8">
        <f>(AI36*(Tablero!$B$5/100)+AJ36*(Tablero!$B$6/100))*(Tablero!$B$4/100)</f>
        <v>0.10867025605105636</v>
      </c>
      <c r="AW36" s="8">
        <f>(AK36*(Tablero!$B$8/100))*(Tablero!$B$7/100)</f>
        <v>6.8801753531417445E-2</v>
      </c>
      <c r="AX36" s="8">
        <f>(AL36*(Tablero!$B$10/100)+AM36*(Tablero!$B$11/100)+AN36*(Tablero!$B$12/100)+AO36*(Tablero!$B$13/100)+AP36*(Tablero!$B$14/100))*(Tablero!$B$9/100)</f>
        <v>5.6754125817117834E-2</v>
      </c>
      <c r="AY36" s="8">
        <f>(AQ36*(Tablero!$B$16/100)+AR36*(Tablero!$B$17/100)+AS36*(Tablero!$B$18/100))*(Tablero!$B$15/100)</f>
        <v>0.16489504085657933</v>
      </c>
      <c r="AZ36" s="8">
        <f>(AT36*(Tablero!$B$20/100)+AU36*(Tablero!$B$21/100))*(Tablero!$B$19/100)</f>
        <v>1.5394134068956379E-2</v>
      </c>
    </row>
    <row r="37" spans="2:52" hidden="1" x14ac:dyDescent="0.4">
      <c r="B37" t="s">
        <v>111</v>
      </c>
      <c r="C37" t="s">
        <v>112</v>
      </c>
      <c r="D37" s="3">
        <v>10282</v>
      </c>
      <c r="E37" s="3">
        <v>98</v>
      </c>
      <c r="F37">
        <v>36</v>
      </c>
      <c r="G37">
        <v>25.2</v>
      </c>
      <c r="H37">
        <v>55.5</v>
      </c>
      <c r="I37">
        <v>63.3</v>
      </c>
      <c r="J37">
        <v>15</v>
      </c>
      <c r="K37">
        <v>0.15</v>
      </c>
      <c r="L37">
        <v>33</v>
      </c>
      <c r="M37">
        <v>0</v>
      </c>
      <c r="N37">
        <v>187.38189248</v>
      </c>
      <c r="O37" s="3">
        <v>7.81</v>
      </c>
      <c r="P37">
        <v>24</v>
      </c>
      <c r="Q37">
        <v>72.775510204081627</v>
      </c>
      <c r="R37">
        <v>50</v>
      </c>
      <c r="S37">
        <v>34.69</v>
      </c>
      <c r="T37">
        <v>44.9</v>
      </c>
      <c r="U37">
        <v>44.9</v>
      </c>
      <c r="V37" s="3">
        <v>240</v>
      </c>
      <c r="W37">
        <v>7</v>
      </c>
      <c r="X37">
        <v>7</v>
      </c>
      <c r="Y37">
        <v>0</v>
      </c>
      <c r="Z37">
        <v>0</v>
      </c>
      <c r="AA37" s="3">
        <v>68.099999999999994</v>
      </c>
      <c r="AB37">
        <v>45</v>
      </c>
      <c r="AC37">
        <v>42656.68</v>
      </c>
      <c r="AD37">
        <v>0.62</v>
      </c>
      <c r="AE37">
        <v>53.33</v>
      </c>
      <c r="AF37">
        <v>3.16</v>
      </c>
      <c r="AG37" s="10">
        <f>AV37+AW37+AX37+AY37+AZ37</f>
        <v>0.46543212032409964</v>
      </c>
      <c r="AH37" t="s">
        <v>41</v>
      </c>
      <c r="AI37" s="9">
        <f>(G37-MIN($G$2:$G$126))/(MAX($G$2:$G$126)-MIN($G$2:$G$126))</f>
        <v>0.43896713615023469</v>
      </c>
      <c r="AJ37" s="9">
        <f>(N37-MIN($N$2:$N$126))/(MAX($N$2:$N$126)-MIN($N$2:$N$126))</f>
        <v>3.9521209705041752E-3</v>
      </c>
      <c r="AK37" s="9">
        <f>(O37-MIN($O$2:$O$126))/(MAX($O$2:$O$126)-MIN($O$2:$O$126))</f>
        <v>0.38041889917194344</v>
      </c>
      <c r="AL37" s="9">
        <f>(S37-MIN($S$2:$S$126))/(MAX($S$2:$S$126)-MIN($S$2:$S$126))</f>
        <v>0.56238361266294223</v>
      </c>
      <c r="AM37" s="9">
        <f>(T37-MIN($T$2:$T$126))/(MAX($T$2:$T$126)-MIN($T$2:$T$126))</f>
        <v>0.36972490277977821</v>
      </c>
      <c r="AN37" s="9">
        <f>1-(AC37-MIN($AC$2:$AC$126))/(MAX($AC$2:$AC$126)-MIN($AC$2:$AC$126))</f>
        <v>0.72255321575612041</v>
      </c>
      <c r="AO37" s="9">
        <f>(AD37-MIN($AD$2:$AD$126))/(MAX($AD$2:$AD$126)-MIN($AD$2:$AD$126))</f>
        <v>0.37125748502994016</v>
      </c>
      <c r="AP37" s="9">
        <f>1-(AE37-MIN($AE$2:$AE$126))/(MAX($AE$2:$AE$126)-MIN($AE$2:$AE$126))</f>
        <v>0.4667</v>
      </c>
      <c r="AQ37" s="9">
        <f>(V37-MIN($V$2:$V$126))/(MAX($V$2:$V$126)-MIN($V$2:$V$126))</f>
        <v>0.66666666666666663</v>
      </c>
      <c r="AR37" s="9">
        <f>1-(Y37-MIN($Y$2:$Y$126))/(MAX($Y$2:$Y$126)-MIN($Y$2:$Y$126))</f>
        <v>1</v>
      </c>
      <c r="AS37" s="9">
        <f>1-(AA37-MIN($AA$2:$AA$126))/(MAX($AA$2:$AA$126)-MIN($AA$2:$AA$126))</f>
        <v>0.4843617920540999</v>
      </c>
      <c r="AT37" s="9">
        <f>(K37-MIN($K$2:$K$126))/(MAX($K$2:$K$126)-MIN($K$2:$K$126))</f>
        <v>0.30303030303030298</v>
      </c>
      <c r="AU37" s="9">
        <f>(L37-MIN($L$2:$L$126))/(MAX($L$2:$L$126)-MIN($L$2:$L$126))</f>
        <v>3.6905412793876435E-3</v>
      </c>
      <c r="AV37" s="8">
        <f>(AI37*(Tablero!$B$5/100)+AJ37*(Tablero!$B$6/100))*(Tablero!$B$4/100)</f>
        <v>6.6240282519585622E-2</v>
      </c>
      <c r="AW37" s="8">
        <f>(AK37*(Tablero!$B$8/100))*(Tablero!$B$7/100)</f>
        <v>9.5104724792985859E-2</v>
      </c>
      <c r="AX37" s="8">
        <f>(AL37*(Tablero!$B$10/100)+AM37*(Tablero!$B$11/100)+AN37*(Tablero!$B$12/100)+AO37*(Tablero!$B$13/100)+AP37*(Tablero!$B$14/100))*(Tablero!$B$9/100)</f>
        <v>9.2643380435766753E-2</v>
      </c>
      <c r="AY37" s="8">
        <f>(AQ37*(Tablero!$B$16/100)+AR37*(Tablero!$B$17/100)+AS37*(Tablero!$B$18/100))*(Tablero!$B$15/100)</f>
        <v>0.20377571146801915</v>
      </c>
      <c r="AZ37" s="8">
        <f>(AT37*(Tablero!$B$20/100)+AU37*(Tablero!$B$21/100))*(Tablero!$B$19/100)</f>
        <v>7.6680211077422653E-3</v>
      </c>
    </row>
    <row r="38" spans="2:52" hidden="1" x14ac:dyDescent="0.4">
      <c r="B38" t="s">
        <v>113</v>
      </c>
      <c r="C38" t="s">
        <v>114</v>
      </c>
      <c r="D38" s="3">
        <v>8829</v>
      </c>
      <c r="E38" s="3">
        <v>57</v>
      </c>
      <c r="F38">
        <v>16</v>
      </c>
      <c r="G38">
        <v>19</v>
      </c>
      <c r="H38">
        <v>31.9</v>
      </c>
      <c r="I38">
        <v>71.900000000000006</v>
      </c>
      <c r="J38">
        <v>19</v>
      </c>
      <c r="K38">
        <v>0.33</v>
      </c>
      <c r="L38">
        <v>25</v>
      </c>
      <c r="M38">
        <v>0</v>
      </c>
      <c r="N38">
        <v>59.124714979999979</v>
      </c>
      <c r="O38" s="3">
        <v>7.39</v>
      </c>
      <c r="P38">
        <v>8</v>
      </c>
      <c r="Q38">
        <v>69.263157894736835</v>
      </c>
      <c r="R38">
        <v>45.61</v>
      </c>
      <c r="S38">
        <v>35.090000000000003</v>
      </c>
      <c r="T38">
        <v>59.65</v>
      </c>
      <c r="U38">
        <v>63.16</v>
      </c>
      <c r="V38" s="3">
        <v>110</v>
      </c>
      <c r="W38">
        <v>2</v>
      </c>
      <c r="X38">
        <v>2</v>
      </c>
      <c r="Y38">
        <v>0</v>
      </c>
      <c r="Z38">
        <v>0</v>
      </c>
      <c r="AA38" s="3">
        <v>22.7</v>
      </c>
      <c r="AB38">
        <v>22</v>
      </c>
      <c r="AC38">
        <v>43779.13</v>
      </c>
      <c r="AD38">
        <v>0.86</v>
      </c>
      <c r="AE38">
        <v>4.55</v>
      </c>
      <c r="AF38">
        <v>2.62</v>
      </c>
      <c r="AG38" s="10">
        <f>AV38+AW38+AX38+AY38+AZ38</f>
        <v>0.47991084028144659</v>
      </c>
      <c r="AH38" t="s">
        <v>41</v>
      </c>
      <c r="AI38" s="9">
        <f>(G38-MIN($G$2:$G$126))/(MAX($G$2:$G$126)-MIN($G$2:$G$126))</f>
        <v>0.29342723004694837</v>
      </c>
      <c r="AJ38" s="9">
        <f>(N38-MIN($N$2:$N$126))/(MAX($N$2:$N$126)-MIN($N$2:$N$126))</f>
        <v>1.2470149748993518E-3</v>
      </c>
      <c r="AK38" s="9">
        <f>(O38-MIN($O$2:$O$126))/(MAX($O$2:$O$126)-MIN($O$2:$O$126))</f>
        <v>0.35996103263516799</v>
      </c>
      <c r="AL38" s="9">
        <f>(S38-MIN($S$2:$S$126))/(MAX($S$2:$S$126)-MIN($S$2:$S$126))</f>
        <v>0.57169459962756053</v>
      </c>
      <c r="AM38" s="9">
        <f>(T38-MIN($T$2:$T$126))/(MAX($T$2:$T$126)-MIN($T$2:$T$126))</f>
        <v>0.5821690911709636</v>
      </c>
      <c r="AN38" s="9">
        <f>1-(AC38-MIN($AC$2:$AC$126))/(MAX($AC$2:$AC$126)-MIN($AC$2:$AC$126))</f>
        <v>0.71112288987803374</v>
      </c>
      <c r="AO38" s="9">
        <f>(AD38-MIN($AD$2:$AD$126))/(MAX($AD$2:$AD$126)-MIN($AD$2:$AD$126))</f>
        <v>0.51497005988023958</v>
      </c>
      <c r="AP38" s="9">
        <f>1-(AE38-MIN($AE$2:$AE$126))/(MAX($AE$2:$AE$126)-MIN($AE$2:$AE$126))</f>
        <v>0.95450000000000002</v>
      </c>
      <c r="AQ38" s="9">
        <f>(V38-MIN($V$2:$V$126))/(MAX($V$2:$V$126)-MIN($V$2:$V$126))</f>
        <v>0.30555555555555558</v>
      </c>
      <c r="AR38" s="9">
        <f>1-(Y38-MIN($Y$2:$Y$126))/(MAX($Y$2:$Y$126)-MIN($Y$2:$Y$126))</f>
        <v>1</v>
      </c>
      <c r="AS38" s="9">
        <f>1-(AA38-MIN($AA$2:$AA$126))/(MAX($AA$2:$AA$126)-MIN($AA$2:$AA$126))</f>
        <v>0.86813186813186816</v>
      </c>
      <c r="AT38" s="9">
        <f>(K38-MIN($K$2:$K$126))/(MAX($K$2:$K$126)-MIN($K$2:$K$126))</f>
        <v>0.84848484848484851</v>
      </c>
      <c r="AU38" s="9">
        <f>(L38-MIN($L$2:$L$126))/(MAX($L$2:$L$126)-MIN($L$2:$L$126))</f>
        <v>2.59704756697649E-3</v>
      </c>
      <c r="AV38" s="8">
        <f>(AI38*(Tablero!$B$5/100)+AJ38*(Tablero!$B$6/100))*(Tablero!$B$4/100)</f>
        <v>4.4138786004532193E-2</v>
      </c>
      <c r="AW38" s="8">
        <f>(AK38*(Tablero!$B$8/100))*(Tablero!$B$7/100)</f>
        <v>8.9990258158791997E-2</v>
      </c>
      <c r="AX38" s="8">
        <f>(AL38*(Tablero!$B$10/100)+AM38*(Tablero!$B$11/100)+AN38*(Tablero!$B$12/100)+AO38*(Tablero!$B$13/100)+AP38*(Tablero!$B$14/100))*(Tablero!$B$9/100)</f>
        <v>0.14724589645797451</v>
      </c>
      <c r="AY38" s="8">
        <f>(AQ38*(Tablero!$B$16/100)+AR38*(Tablero!$B$17/100)+AS38*(Tablero!$B$18/100))*(Tablero!$B$15/100)</f>
        <v>0.17725885225885227</v>
      </c>
      <c r="AZ38" s="8">
        <f>(AT38*(Tablero!$B$20/100)+AU38*(Tablero!$B$21/100))*(Tablero!$B$19/100)</f>
        <v>2.1277047401295629E-2</v>
      </c>
    </row>
    <row r="39" spans="2:52" hidden="1" x14ac:dyDescent="0.4">
      <c r="B39" t="s">
        <v>115</v>
      </c>
      <c r="C39" t="s">
        <v>116</v>
      </c>
      <c r="D39" s="3">
        <v>53801</v>
      </c>
      <c r="E39" s="3">
        <v>477</v>
      </c>
      <c r="F39">
        <v>133</v>
      </c>
      <c r="G39">
        <v>24.6</v>
      </c>
      <c r="H39">
        <v>41.1</v>
      </c>
      <c r="I39">
        <v>72.099999999999994</v>
      </c>
      <c r="J39">
        <v>80</v>
      </c>
      <c r="K39">
        <v>0.17</v>
      </c>
      <c r="L39">
        <v>250</v>
      </c>
      <c r="M39">
        <v>5</v>
      </c>
      <c r="N39">
        <v>696.01569246999986</v>
      </c>
      <c r="O39" s="3">
        <v>9.2799999999999994</v>
      </c>
      <c r="P39">
        <v>75</v>
      </c>
      <c r="Q39">
        <v>70.876310272536685</v>
      </c>
      <c r="R39">
        <v>54.3</v>
      </c>
      <c r="S39">
        <v>40.880000000000003</v>
      </c>
      <c r="T39">
        <v>56.81</v>
      </c>
      <c r="U39">
        <v>61.43</v>
      </c>
      <c r="V39" s="3">
        <v>230</v>
      </c>
      <c r="W39">
        <v>13</v>
      </c>
      <c r="X39">
        <v>11</v>
      </c>
      <c r="Y39">
        <v>2</v>
      </c>
      <c r="Z39">
        <v>0</v>
      </c>
      <c r="AA39" s="3">
        <v>24.2</v>
      </c>
      <c r="AB39">
        <v>81</v>
      </c>
      <c r="AC39">
        <v>47076.63</v>
      </c>
      <c r="AD39">
        <v>0.32</v>
      </c>
      <c r="AE39">
        <v>32.1</v>
      </c>
      <c r="AF39">
        <v>5.98</v>
      </c>
      <c r="AG39" s="10">
        <f>AV39+AW39+AX39+AY39+AZ39</f>
        <v>0.51410996116962049</v>
      </c>
      <c r="AH39" t="s">
        <v>41</v>
      </c>
      <c r="AI39" s="9">
        <f>(G39-MIN($G$2:$G$126))/(MAX($G$2:$G$126)-MIN($G$2:$G$126))</f>
        <v>0.42488262910798125</v>
      </c>
      <c r="AJ39" s="9">
        <f>(N39-MIN($N$2:$N$126))/(MAX($N$2:$N$126)-MIN($N$2:$N$126))</f>
        <v>1.4679850745473007E-2</v>
      </c>
      <c r="AK39" s="9">
        <f>(O39-MIN($O$2:$O$126))/(MAX($O$2:$O$126)-MIN($O$2:$O$126))</f>
        <v>0.45202143205065753</v>
      </c>
      <c r="AL39" s="9">
        <f>(S39-MIN($S$2:$S$126))/(MAX($S$2:$S$126)-MIN($S$2:$S$126))</f>
        <v>0.70647113594040967</v>
      </c>
      <c r="AM39" s="9">
        <f>(T39-MIN($T$2:$T$126))/(MAX($T$2:$T$126)-MIN($T$2:$T$126))</f>
        <v>0.54126458303327096</v>
      </c>
      <c r="AN39" s="9">
        <f>1-(AC39-MIN($AC$2:$AC$126))/(MAX($AC$2:$AC$126)-MIN($AC$2:$AC$126))</f>
        <v>0.67754322077652285</v>
      </c>
      <c r="AO39" s="9">
        <f>(AD39-MIN($AD$2:$AD$126))/(MAX($AD$2:$AD$126)-MIN($AD$2:$AD$126))</f>
        <v>0.19161676646706588</v>
      </c>
      <c r="AP39" s="9">
        <f>1-(AE39-MIN($AE$2:$AE$126))/(MAX($AE$2:$AE$126)-MIN($AE$2:$AE$126))</f>
        <v>0.67900000000000005</v>
      </c>
      <c r="AQ39" s="9">
        <f>(V39-MIN($V$2:$V$126))/(MAX($V$2:$V$126)-MIN($V$2:$V$126))</f>
        <v>0.63888888888888884</v>
      </c>
      <c r="AR39" s="9">
        <f>1-(Y39-MIN($Y$2:$Y$126))/(MAX($Y$2:$Y$126)-MIN($Y$2:$Y$126))</f>
        <v>0.97916666666666663</v>
      </c>
      <c r="AS39" s="9">
        <f>1-(AA39-MIN($AA$2:$AA$126))/(MAX($AA$2:$AA$126)-MIN($AA$2:$AA$126))</f>
        <v>0.85545224006762466</v>
      </c>
      <c r="AT39" s="9">
        <f>(K39-MIN($K$2:$K$126))/(MAX($K$2:$K$126)-MIN($K$2:$K$126))</f>
        <v>0.36363636363636365</v>
      </c>
      <c r="AU39" s="9">
        <f>(L39-MIN($L$2:$L$126))/(MAX($L$2:$L$126)-MIN($L$2:$L$126))</f>
        <v>3.3351558228540183E-2</v>
      </c>
      <c r="AV39" s="8">
        <f>(AI39*(Tablero!$B$5/100)+AJ39*(Tablero!$B$6/100))*(Tablero!$B$4/100)</f>
        <v>6.5200379440744485E-2</v>
      </c>
      <c r="AW39" s="8">
        <f>(AK39*(Tablero!$B$8/100))*(Tablero!$B$7/100)</f>
        <v>0.11300535801266438</v>
      </c>
      <c r="AX39" s="8">
        <f>(AL39*(Tablero!$B$10/100)+AM39*(Tablero!$B$11/100)+AN39*(Tablero!$B$12/100)+AO39*(Tablero!$B$13/100)+AP39*(Tablero!$B$14/100))*(Tablero!$B$9/100)</f>
        <v>0.11830849744567624</v>
      </c>
      <c r="AY39" s="8">
        <f>(AQ39*(Tablero!$B$16/100)+AR39*(Tablero!$B$17/100)+AS39*(Tablero!$B$18/100))*(Tablero!$B$15/100)</f>
        <v>0.20767102822391281</v>
      </c>
      <c r="AZ39" s="8">
        <f>(AT39*(Tablero!$B$20/100)+AU39*(Tablero!$B$21/100))*(Tablero!$B$19/100)</f>
        <v>9.9246980466225973E-3</v>
      </c>
    </row>
    <row r="40" spans="2:52" hidden="1" x14ac:dyDescent="0.4">
      <c r="B40" t="s">
        <v>117</v>
      </c>
      <c r="C40" t="s">
        <v>118</v>
      </c>
      <c r="D40" s="3">
        <v>8800</v>
      </c>
      <c r="E40" s="3">
        <v>76</v>
      </c>
      <c r="F40">
        <v>26</v>
      </c>
      <c r="G40">
        <v>23.7</v>
      </c>
      <c r="H40">
        <v>48.6</v>
      </c>
      <c r="I40">
        <v>65.8</v>
      </c>
      <c r="J40">
        <v>19</v>
      </c>
      <c r="K40">
        <v>0.25</v>
      </c>
      <c r="L40">
        <v>26</v>
      </c>
      <c r="M40">
        <v>1</v>
      </c>
      <c r="N40">
        <v>77.979491649999972</v>
      </c>
      <c r="O40" s="3">
        <v>6</v>
      </c>
      <c r="P40">
        <v>13</v>
      </c>
      <c r="Q40">
        <v>69.90789473684211</v>
      </c>
      <c r="R40">
        <v>44.74</v>
      </c>
      <c r="S40">
        <v>46.05</v>
      </c>
      <c r="T40">
        <v>59.21</v>
      </c>
      <c r="U40">
        <v>46.05</v>
      </c>
      <c r="V40" s="3">
        <v>125</v>
      </c>
      <c r="W40">
        <v>2</v>
      </c>
      <c r="X40">
        <v>2</v>
      </c>
      <c r="Y40">
        <v>0</v>
      </c>
      <c r="Z40">
        <v>0</v>
      </c>
      <c r="AA40" s="3">
        <v>22.7</v>
      </c>
      <c r="AC40">
        <v>52157.1</v>
      </c>
      <c r="AD40">
        <v>0.12</v>
      </c>
      <c r="AE40">
        <v>45.83</v>
      </c>
      <c r="AF40">
        <v>3.02</v>
      </c>
      <c r="AG40" s="10">
        <f>AV40+AW40+AX40+AY40+AZ40</f>
        <v>0.43881251845740354</v>
      </c>
      <c r="AH40" t="s">
        <v>48</v>
      </c>
      <c r="AI40" s="9">
        <f>(G40-MIN($G$2:$G$126))/(MAX($G$2:$G$126)-MIN($G$2:$G$126))</f>
        <v>0.40375586854460088</v>
      </c>
      <c r="AJ40" s="9">
        <f>(N40-MIN($N$2:$N$126))/(MAX($N$2:$N$126)-MIN($N$2:$N$126))</f>
        <v>1.6446860480508478E-3</v>
      </c>
      <c r="AK40" s="9">
        <f>(O40-MIN($O$2:$O$126))/(MAX($O$2:$O$126)-MIN($O$2:$O$126))</f>
        <v>0.29225523623964927</v>
      </c>
      <c r="AL40" s="9">
        <f>(S40-MIN($S$2:$S$126))/(MAX($S$2:$S$126)-MIN($S$2:$S$126))</f>
        <v>0.82681564245810046</v>
      </c>
      <c r="AM40" s="9">
        <f>(T40-MIN($T$2:$T$126))/(MAX($T$2:$T$126)-MIN($T$2:$T$126))</f>
        <v>0.57583177300878596</v>
      </c>
      <c r="AN40" s="9">
        <f>1-(AC40-MIN($AC$2:$AC$126))/(MAX($AC$2:$AC$126)-MIN($AC$2:$AC$126))</f>
        <v>0.62580690493720414</v>
      </c>
      <c r="AO40" s="9">
        <f>(AD40-MIN($AD$2:$AD$126))/(MAX($AD$2:$AD$126)-MIN($AD$2:$AD$126))</f>
        <v>7.1856287425149698E-2</v>
      </c>
      <c r="AP40" s="9">
        <f>1-(AE40-MIN($AE$2:$AE$126))/(MAX($AE$2:$AE$126)-MIN($AE$2:$AE$126))</f>
        <v>0.54170000000000007</v>
      </c>
      <c r="AQ40" s="9">
        <f>(V40-MIN($V$2:$V$126))/(MAX($V$2:$V$126)-MIN($V$2:$V$126))</f>
        <v>0.34722222222222221</v>
      </c>
      <c r="AR40" s="9">
        <f>1-(Y40-MIN($Y$2:$Y$126))/(MAX($Y$2:$Y$126)-MIN($Y$2:$Y$126))</f>
        <v>1</v>
      </c>
      <c r="AS40" s="9">
        <f>1-(AA40-MIN($AA$2:$AA$126))/(MAX($AA$2:$AA$126)-MIN($AA$2:$AA$126))</f>
        <v>0.86813186813186816</v>
      </c>
      <c r="AT40" s="9">
        <f>(K40-MIN($K$2:$K$126))/(MAX($K$2:$K$126)-MIN($K$2:$K$126))</f>
        <v>0.60606060606060608</v>
      </c>
      <c r="AU40" s="9">
        <f>(L40-MIN($L$2:$L$126))/(MAX($L$2:$L$126)-MIN($L$2:$L$126))</f>
        <v>2.7337342810278839E-3</v>
      </c>
      <c r="AV40" s="8">
        <f>(AI40*(Tablero!$B$5/100)+AJ40*(Tablero!$B$6/100))*(Tablero!$B$4/100)</f>
        <v>6.0727848886495212E-2</v>
      </c>
      <c r="AW40" s="8">
        <f>(AK40*(Tablero!$B$8/100))*(Tablero!$B$7/100)</f>
        <v>7.3063809059912319E-2</v>
      </c>
      <c r="AX40" s="8">
        <f>(AL40*(Tablero!$B$10/100)+AM40*(Tablero!$B$11/100)+AN40*(Tablero!$B$12/100)+AO40*(Tablero!$B$13/100)+AP40*(Tablero!$B$14/100))*(Tablero!$B$9/100)</f>
        <v>0.10837548307693626</v>
      </c>
      <c r="AY40" s="8">
        <f>(AQ40*(Tablero!$B$16/100)+AR40*(Tablero!$B$17/100)+AS40*(Tablero!$B$18/100))*(Tablero!$B$15/100)</f>
        <v>0.18142551892551892</v>
      </c>
      <c r="AZ40" s="8">
        <f>(AT40*(Tablero!$B$20/100)+AU40*(Tablero!$B$21/100))*(Tablero!$B$19/100)</f>
        <v>1.5219858508540849E-2</v>
      </c>
    </row>
    <row r="41" spans="2:52" hidden="1" x14ac:dyDescent="0.4">
      <c r="B41" t="s">
        <v>119</v>
      </c>
      <c r="C41" t="s">
        <v>120</v>
      </c>
      <c r="D41" s="3">
        <v>17633</v>
      </c>
      <c r="E41" s="3">
        <v>152</v>
      </c>
      <c r="F41">
        <v>60</v>
      </c>
      <c r="G41">
        <v>24.7</v>
      </c>
      <c r="H41">
        <v>58.6</v>
      </c>
      <c r="I41">
        <v>60.5</v>
      </c>
      <c r="J41">
        <v>47</v>
      </c>
      <c r="K41">
        <v>0.31</v>
      </c>
      <c r="L41">
        <v>72</v>
      </c>
      <c r="M41">
        <v>1</v>
      </c>
      <c r="N41">
        <v>214.20073034999999</v>
      </c>
      <c r="O41" s="3">
        <v>7.39</v>
      </c>
      <c r="P41">
        <v>29</v>
      </c>
      <c r="Q41">
        <v>70.901315789473685</v>
      </c>
      <c r="R41">
        <v>55.26</v>
      </c>
      <c r="S41">
        <v>38.159999999999997</v>
      </c>
      <c r="T41">
        <v>38.159999999999997</v>
      </c>
      <c r="U41">
        <v>41.45</v>
      </c>
      <c r="V41" s="3">
        <v>165</v>
      </c>
      <c r="W41">
        <v>4</v>
      </c>
      <c r="X41">
        <v>4</v>
      </c>
      <c r="Y41">
        <v>0</v>
      </c>
      <c r="Z41">
        <v>0</v>
      </c>
      <c r="AA41" s="3">
        <v>22.7</v>
      </c>
      <c r="AB41">
        <v>45</v>
      </c>
      <c r="AC41">
        <v>63197.53</v>
      </c>
      <c r="AD41">
        <v>0.28999999999999998</v>
      </c>
      <c r="AE41">
        <v>53.33</v>
      </c>
      <c r="AF41">
        <v>2.64</v>
      </c>
      <c r="AG41" s="10">
        <f>AV41+AW41+AX41+AY41+AZ41</f>
        <v>0.44728434145743434</v>
      </c>
      <c r="AH41" t="s">
        <v>41</v>
      </c>
      <c r="AI41" s="9">
        <f>(G41-MIN($G$2:$G$126))/(MAX($G$2:$G$126)-MIN($G$2:$G$126))</f>
        <v>0.42723004694835676</v>
      </c>
      <c r="AJ41" s="9">
        <f>(N41-MIN($N$2:$N$126))/(MAX($N$2:$N$126)-MIN($N$2:$N$126))</f>
        <v>4.5177641612510677E-3</v>
      </c>
      <c r="AK41" s="9">
        <f>(O41-MIN($O$2:$O$126))/(MAX($O$2:$O$126)-MIN($O$2:$O$126))</f>
        <v>0.35996103263516799</v>
      </c>
      <c r="AL41" s="9">
        <f>(S41-MIN($S$2:$S$126))/(MAX($S$2:$S$126)-MIN($S$2:$S$126))</f>
        <v>0.64315642458100541</v>
      </c>
      <c r="AM41" s="9">
        <f>(T41-MIN($T$2:$T$126))/(MAX($T$2:$T$126)-MIN($T$2:$T$126))</f>
        <v>0.27264871093187382</v>
      </c>
      <c r="AN41" s="9">
        <f>1-(AC41-MIN($AC$2:$AC$126))/(MAX($AC$2:$AC$126)-MIN($AC$2:$AC$126))</f>
        <v>0.51337809943655399</v>
      </c>
      <c r="AO41" s="9">
        <f>(AD41-MIN($AD$2:$AD$126))/(MAX($AD$2:$AD$126)-MIN($AD$2:$AD$126))</f>
        <v>0.17365269461077845</v>
      </c>
      <c r="AP41" s="9">
        <f>1-(AE41-MIN($AE$2:$AE$126))/(MAX($AE$2:$AE$126)-MIN($AE$2:$AE$126))</f>
        <v>0.4667</v>
      </c>
      <c r="AQ41" s="9">
        <f>(V41-MIN($V$2:$V$126))/(MAX($V$2:$V$126)-MIN($V$2:$V$126))</f>
        <v>0.45833333333333331</v>
      </c>
      <c r="AR41" s="9">
        <f>1-(Y41-MIN($Y$2:$Y$126))/(MAX($Y$2:$Y$126)-MIN($Y$2:$Y$126))</f>
        <v>1</v>
      </c>
      <c r="AS41" s="9">
        <f>1-(AA41-MIN($AA$2:$AA$126))/(MAX($AA$2:$AA$126)-MIN($AA$2:$AA$126))</f>
        <v>0.86813186813186816</v>
      </c>
      <c r="AT41" s="9">
        <f>(K41-MIN($K$2:$K$126))/(MAX($K$2:$K$126)-MIN($K$2:$K$126))</f>
        <v>0.78787878787878785</v>
      </c>
      <c r="AU41" s="9">
        <f>(L41-MIN($L$2:$L$126))/(MAX($L$2:$L$126)-MIN($L$2:$L$126))</f>
        <v>9.0213231273920183E-3</v>
      </c>
      <c r="AV41" s="8">
        <f>(AI41*(Tablero!$B$5/100)+AJ41*(Tablero!$B$6/100))*(Tablero!$B$4/100)</f>
        <v>6.4536283458378613E-2</v>
      </c>
      <c r="AW41" s="8">
        <f>(AK41*(Tablero!$B$8/100))*(Tablero!$B$7/100)</f>
        <v>8.9990258158791997E-2</v>
      </c>
      <c r="AX41" s="8">
        <f>(AL41*(Tablero!$B$10/100)+AM41*(Tablero!$B$11/100)+AN41*(Tablero!$B$12/100)+AO41*(Tablero!$B$13/100)+AP41*(Tablero!$B$14/100))*(Tablero!$B$9/100)</f>
        <v>8.0298667028479195E-2</v>
      </c>
      <c r="AY41" s="8">
        <f>(AQ41*(Tablero!$B$16/100)+AR41*(Tablero!$B$17/100)+AS41*(Tablero!$B$18/100))*(Tablero!$B$15/100)</f>
        <v>0.19253663003663005</v>
      </c>
      <c r="AZ41" s="8">
        <f>(AT41*(Tablero!$B$20/100)+AU41*(Tablero!$B$21/100))*(Tablero!$B$19/100)</f>
        <v>1.9922502775154498E-2</v>
      </c>
    </row>
    <row r="42" spans="2:52" hidden="1" x14ac:dyDescent="0.4">
      <c r="B42" t="s">
        <v>121</v>
      </c>
      <c r="C42" t="s">
        <v>122</v>
      </c>
      <c r="D42" s="3">
        <v>4885</v>
      </c>
      <c r="E42" s="3">
        <v>45</v>
      </c>
      <c r="F42">
        <v>13</v>
      </c>
      <c r="G42">
        <v>24.8</v>
      </c>
      <c r="H42">
        <v>42.9</v>
      </c>
      <c r="I42">
        <v>71.099999999999994</v>
      </c>
      <c r="J42">
        <v>3</v>
      </c>
      <c r="K42">
        <v>7.0000000000000007E-2</v>
      </c>
      <c r="L42">
        <v>21</v>
      </c>
      <c r="M42">
        <v>1</v>
      </c>
      <c r="N42">
        <v>26.419275519999989</v>
      </c>
      <c r="O42" s="3">
        <v>3.3</v>
      </c>
      <c r="P42">
        <v>8</v>
      </c>
      <c r="Q42">
        <v>76.888888888888886</v>
      </c>
      <c r="R42">
        <v>42.22</v>
      </c>
      <c r="S42">
        <v>48.89</v>
      </c>
      <c r="T42">
        <v>55.56</v>
      </c>
      <c r="U42">
        <v>53.33</v>
      </c>
      <c r="V42" s="3">
        <v>260</v>
      </c>
      <c r="W42">
        <v>2</v>
      </c>
      <c r="X42">
        <v>2</v>
      </c>
      <c r="Y42">
        <v>0</v>
      </c>
      <c r="Z42">
        <v>0</v>
      </c>
      <c r="AA42" s="3">
        <v>40.9</v>
      </c>
      <c r="AC42">
        <v>52157.1</v>
      </c>
      <c r="AD42">
        <v>0.12</v>
      </c>
      <c r="AE42">
        <v>45.83</v>
      </c>
      <c r="AF42">
        <v>3.02</v>
      </c>
      <c r="AG42" s="10">
        <f>AV42+AW42+AX42+AY42+AZ42</f>
        <v>0.42786659754576611</v>
      </c>
      <c r="AH42" t="s">
        <v>48</v>
      </c>
      <c r="AI42" s="9">
        <f>(G42-MIN($G$2:$G$126))/(MAX($G$2:$G$126)-MIN($G$2:$G$126))</f>
        <v>0.42957746478873238</v>
      </c>
      <c r="AJ42" s="9">
        <f>(N42-MIN($N$2:$N$126))/(MAX($N$2:$N$126)-MIN($N$2:$N$126))</f>
        <v>5.5721591572282711E-4</v>
      </c>
      <c r="AK42" s="9">
        <f>(O42-MIN($O$2:$O$126))/(MAX($O$2:$O$126)-MIN($O$2:$O$126))</f>
        <v>0.16074037993180709</v>
      </c>
      <c r="AL42" s="9">
        <f>(S42-MIN($S$2:$S$126))/(MAX($S$2:$S$126)-MIN($S$2:$S$126))</f>
        <v>0.8929236499068901</v>
      </c>
      <c r="AM42" s="9">
        <f>(T42-MIN($T$2:$T$126))/(MAX($T$2:$T$126)-MIN($T$2:$T$126))</f>
        <v>0.52326083825435699</v>
      </c>
      <c r="AN42" s="9">
        <f>1-(AC42-MIN($AC$2:$AC$126))/(MAX($AC$2:$AC$126)-MIN($AC$2:$AC$126))</f>
        <v>0.62580690493720414</v>
      </c>
      <c r="AO42" s="9">
        <f>(AD42-MIN($AD$2:$AD$126))/(MAX($AD$2:$AD$126)-MIN($AD$2:$AD$126))</f>
        <v>7.1856287425149698E-2</v>
      </c>
      <c r="AP42" s="9">
        <f>1-(AE42-MIN($AE$2:$AE$126))/(MAX($AE$2:$AE$126)-MIN($AE$2:$AE$126))</f>
        <v>0.54170000000000007</v>
      </c>
      <c r="AQ42" s="9">
        <f>(V42-MIN($V$2:$V$126))/(MAX($V$2:$V$126)-MIN($V$2:$V$126))</f>
        <v>0.72222222222222221</v>
      </c>
      <c r="AR42" s="9">
        <f>1-(Y42-MIN($Y$2:$Y$126))/(MAX($Y$2:$Y$126)-MIN($Y$2:$Y$126))</f>
        <v>1</v>
      </c>
      <c r="AS42" s="9">
        <f>1-(AA42-MIN($AA$2:$AA$126))/(MAX($AA$2:$AA$126)-MIN($AA$2:$AA$126))</f>
        <v>0.71428571428571441</v>
      </c>
      <c r="AT42" s="9">
        <f>(K42-MIN($K$2:$K$126))/(MAX($K$2:$K$126)-MIN($K$2:$K$126))</f>
        <v>6.0606060606060615E-2</v>
      </c>
      <c r="AU42" s="9">
        <f>(L42-MIN($L$2:$L$126))/(MAX($L$2:$L$126)-MIN($L$2:$L$126))</f>
        <v>2.0503007107709132E-3</v>
      </c>
      <c r="AV42" s="8">
        <f>(AI42*(Tablero!$B$5/100)+AJ42*(Tablero!$B$6/100))*(Tablero!$B$4/100)</f>
        <v>6.4492341309882142E-2</v>
      </c>
      <c r="AW42" s="8">
        <f>(AK42*(Tablero!$B$8/100))*(Tablero!$B$7/100)</f>
        <v>4.0185094982951773E-2</v>
      </c>
      <c r="AX42" s="8">
        <f>(AL42*(Tablero!$B$10/100)+AM42*(Tablero!$B$11/100)+AN42*(Tablero!$B$12/100)+AO42*(Tablero!$B$13/100)+AP42*(Tablero!$B$14/100))*(Tablero!$B$9/100)</f>
        <v>0.10654338714064632</v>
      </c>
      <c r="AY42" s="8">
        <f>(AQ42*(Tablero!$B$16/100)+AR42*(Tablero!$B$17/100)+AS42*(Tablero!$B$18/100))*(Tablero!$B$15/100)</f>
        <v>0.21507936507936509</v>
      </c>
      <c r="AZ42" s="8">
        <f>(AT42*(Tablero!$B$20/100)+AU42*(Tablero!$B$21/100))*(Tablero!$B$19/100)</f>
        <v>1.5664090329207882E-3</v>
      </c>
    </row>
    <row r="43" spans="2:52" hidden="1" x14ac:dyDescent="0.4">
      <c r="B43" t="s">
        <v>123</v>
      </c>
      <c r="C43" t="s">
        <v>124</v>
      </c>
      <c r="D43" s="3">
        <v>6132</v>
      </c>
      <c r="E43" s="3">
        <v>57</v>
      </c>
      <c r="F43">
        <v>14</v>
      </c>
      <c r="G43">
        <v>27.3</v>
      </c>
      <c r="H43">
        <v>40.299999999999997</v>
      </c>
      <c r="I43">
        <v>75.400000000000006</v>
      </c>
      <c r="J43">
        <v>11</v>
      </c>
      <c r="K43">
        <v>0.19</v>
      </c>
      <c r="L43">
        <v>25</v>
      </c>
      <c r="M43">
        <v>0</v>
      </c>
      <c r="N43">
        <v>9.0784831699999984</v>
      </c>
      <c r="O43" s="3">
        <v>2.27</v>
      </c>
      <c r="P43">
        <v>4</v>
      </c>
      <c r="Q43">
        <v>71.824561403508767</v>
      </c>
      <c r="R43">
        <v>42.11</v>
      </c>
      <c r="S43">
        <v>47.37</v>
      </c>
      <c r="T43">
        <v>50.88</v>
      </c>
      <c r="U43">
        <v>36.840000000000003</v>
      </c>
      <c r="V43" s="3">
        <v>195</v>
      </c>
      <c r="W43">
        <v>2</v>
      </c>
      <c r="X43">
        <v>2</v>
      </c>
      <c r="Y43">
        <v>0</v>
      </c>
      <c r="Z43">
        <v>0</v>
      </c>
      <c r="AA43" s="3">
        <v>32.6</v>
      </c>
      <c r="AB43">
        <v>37</v>
      </c>
      <c r="AC43">
        <v>51553.17</v>
      </c>
      <c r="AD43">
        <v>0.3</v>
      </c>
      <c r="AE43">
        <v>45.95</v>
      </c>
      <c r="AF43">
        <v>2.65</v>
      </c>
      <c r="AG43" s="10">
        <f>AV43+AW43+AX43+AY43+AZ43</f>
        <v>0.41432395065428784</v>
      </c>
      <c r="AH43" t="s">
        <v>41</v>
      </c>
      <c r="AI43" s="9">
        <f>(G43-MIN($G$2:$G$126))/(MAX($G$2:$G$126)-MIN($G$2:$G$126))</f>
        <v>0.48826291079812206</v>
      </c>
      <c r="AJ43" s="9">
        <f>(N43-MIN($N$2:$N$126))/(MAX($N$2:$N$126)-MIN($N$2:$N$126))</f>
        <v>1.9147668561601139E-4</v>
      </c>
      <c r="AK43" s="9">
        <f>(O43-MIN($O$2:$O$126))/(MAX($O$2:$O$126)-MIN($O$2:$O$126))</f>
        <v>0.11056989771066732</v>
      </c>
      <c r="AL43" s="9">
        <f>(S43-MIN($S$2:$S$126))/(MAX($S$2:$S$126)-MIN($S$2:$S$126))</f>
        <v>0.85754189944134063</v>
      </c>
      <c r="AM43" s="9">
        <f>(T43-MIN($T$2:$T$126))/(MAX($T$2:$T$126)-MIN($T$2:$T$126))</f>
        <v>0.45585481780210291</v>
      </c>
      <c r="AN43" s="9">
        <f>1-(AC43-MIN($AC$2:$AC$126))/(MAX($AC$2:$AC$126)-MIN($AC$2:$AC$126))</f>
        <v>0.63195694877662056</v>
      </c>
      <c r="AO43" s="9">
        <f>(AD43-MIN($AD$2:$AD$126))/(MAX($AD$2:$AD$126)-MIN($AD$2:$AD$126))</f>
        <v>0.17964071856287425</v>
      </c>
      <c r="AP43" s="9">
        <f>1-(AE43-MIN($AE$2:$AE$126))/(MAX($AE$2:$AE$126)-MIN($AE$2:$AE$126))</f>
        <v>0.54049999999999998</v>
      </c>
      <c r="AQ43" s="9">
        <f>(V43-MIN($V$2:$V$126))/(MAX($V$2:$V$126)-MIN($V$2:$V$126))</f>
        <v>0.54166666666666663</v>
      </c>
      <c r="AR43" s="9">
        <f>1-(Y43-MIN($Y$2:$Y$126))/(MAX($Y$2:$Y$126)-MIN($Y$2:$Y$126))</f>
        <v>1</v>
      </c>
      <c r="AS43" s="9">
        <f>1-(AA43-MIN($AA$2:$AA$126))/(MAX($AA$2:$AA$126)-MIN($AA$2:$AA$126))</f>
        <v>0.78444632290786143</v>
      </c>
      <c r="AT43" s="9">
        <f>(K43-MIN($K$2:$K$126))/(MAX($K$2:$K$126)-MIN($K$2:$K$126))</f>
        <v>0.42424242424242425</v>
      </c>
      <c r="AU43" s="9">
        <f>(L43-MIN($L$2:$L$126))/(MAX($L$2:$L$126)-MIN($L$2:$L$126))</f>
        <v>2.59704756697649E-3</v>
      </c>
      <c r="AV43" s="8">
        <f>(AI43*(Tablero!$B$5/100)+AJ43*(Tablero!$B$6/100))*(Tablero!$B$4/100)</f>
        <v>7.3258584288279915E-2</v>
      </c>
      <c r="AW43" s="8">
        <f>(AK43*(Tablero!$B$8/100))*(Tablero!$B$7/100)</f>
        <v>2.7642474427666829E-2</v>
      </c>
      <c r="AX43" s="8">
        <f>(AL43*(Tablero!$B$10/100)+AM43*(Tablero!$B$11/100)+AN43*(Tablero!$B$12/100)+AO43*(Tablero!$B$13/100)+AP43*(Tablero!$B$14/100))*(Tablero!$B$9/100)</f>
        <v>0.10397408040374288</v>
      </c>
      <c r="AY43" s="8">
        <f>(AQ43*(Tablero!$B$16/100)+AR43*(Tablero!$B$17/100)+AS43*(Tablero!$B$18/100))*(Tablero!$B$15/100)</f>
        <v>0.1987778247393632</v>
      </c>
      <c r="AZ43" s="8">
        <f>(AT43*(Tablero!$B$20/100)+AU43*(Tablero!$B$21/100))*(Tablero!$B$19/100)</f>
        <v>1.0670986795235019E-2</v>
      </c>
    </row>
    <row r="44" spans="2:52" hidden="1" x14ac:dyDescent="0.4">
      <c r="B44" t="s">
        <v>125</v>
      </c>
      <c r="C44" t="s">
        <v>126</v>
      </c>
      <c r="D44" s="3">
        <v>6929</v>
      </c>
      <c r="E44" s="3">
        <v>67</v>
      </c>
      <c r="F44">
        <v>23</v>
      </c>
      <c r="G44">
        <v>28.2</v>
      </c>
      <c r="H44">
        <v>58.2</v>
      </c>
      <c r="I44">
        <v>65.7</v>
      </c>
      <c r="J44">
        <v>14</v>
      </c>
      <c r="K44">
        <v>0.21</v>
      </c>
      <c r="L44">
        <v>36</v>
      </c>
      <c r="M44">
        <v>1</v>
      </c>
      <c r="N44">
        <v>126.73706310999999</v>
      </c>
      <c r="O44" s="3">
        <v>7.46</v>
      </c>
      <c r="P44">
        <v>17</v>
      </c>
      <c r="Q44">
        <v>75.552238805970148</v>
      </c>
      <c r="R44">
        <v>46.27</v>
      </c>
      <c r="S44">
        <v>38.81</v>
      </c>
      <c r="T44">
        <v>86.57</v>
      </c>
      <c r="U44">
        <v>85.07</v>
      </c>
      <c r="V44" s="3">
        <v>215</v>
      </c>
      <c r="W44">
        <v>4</v>
      </c>
      <c r="X44">
        <v>2</v>
      </c>
      <c r="Y44">
        <v>2</v>
      </c>
      <c r="Z44">
        <v>0</v>
      </c>
      <c r="AA44" s="3">
        <v>57.7</v>
      </c>
      <c r="AC44">
        <v>52157.1</v>
      </c>
      <c r="AD44">
        <v>0.12</v>
      </c>
      <c r="AE44">
        <v>45.83</v>
      </c>
      <c r="AF44">
        <v>3.02</v>
      </c>
      <c r="AG44" s="10">
        <f>AV44+AW44+AX44+AY44+AZ44</f>
        <v>0.50481591790533742</v>
      </c>
      <c r="AH44" t="s">
        <v>48</v>
      </c>
      <c r="AI44" s="9">
        <f>(G44-MIN($G$2:$G$126))/(MAX($G$2:$G$126)-MIN($G$2:$G$126))</f>
        <v>0.50938967136150226</v>
      </c>
      <c r="AJ44" s="9">
        <f>(N44-MIN($N$2:$N$126))/(MAX($N$2:$N$126)-MIN($N$2:$N$126))</f>
        <v>2.6730448616351919E-3</v>
      </c>
      <c r="AK44" s="9">
        <f>(O44-MIN($O$2:$O$126))/(MAX($O$2:$O$126)-MIN($O$2:$O$126))</f>
        <v>0.36337067705796394</v>
      </c>
      <c r="AL44" s="9">
        <f>(S44-MIN($S$2:$S$126))/(MAX($S$2:$S$126)-MIN($S$2:$S$126))</f>
        <v>0.65828677839851024</v>
      </c>
      <c r="AM44" s="9">
        <f>(T44-MIN($T$2:$T$126))/(MAX($T$2:$T$126)-MIN($T$2:$T$126))</f>
        <v>0.96989773872965568</v>
      </c>
      <c r="AN44" s="9">
        <f>1-(AC44-MIN($AC$2:$AC$126))/(MAX($AC$2:$AC$126)-MIN($AC$2:$AC$126))</f>
        <v>0.62580690493720414</v>
      </c>
      <c r="AO44" s="9">
        <f>(AD44-MIN($AD$2:$AD$126))/(MAX($AD$2:$AD$126)-MIN($AD$2:$AD$126))</f>
        <v>7.1856287425149698E-2</v>
      </c>
      <c r="AP44" s="9">
        <f>1-(AE44-MIN($AE$2:$AE$126))/(MAX($AE$2:$AE$126)-MIN($AE$2:$AE$126))</f>
        <v>0.54170000000000007</v>
      </c>
      <c r="AQ44" s="9">
        <f>(V44-MIN($V$2:$V$126))/(MAX($V$2:$V$126)-MIN($V$2:$V$126))</f>
        <v>0.59722222222222221</v>
      </c>
      <c r="AR44" s="9">
        <f>1-(Y44-MIN($Y$2:$Y$126))/(MAX($Y$2:$Y$126)-MIN($Y$2:$Y$126))</f>
        <v>0.97916666666666663</v>
      </c>
      <c r="AS44" s="9">
        <f>1-(AA44-MIN($AA$2:$AA$126))/(MAX($AA$2:$AA$126)-MIN($AA$2:$AA$126))</f>
        <v>0.57227387996618773</v>
      </c>
      <c r="AT44" s="9">
        <f>(K44-MIN($K$2:$K$126))/(MAX($K$2:$K$126)-MIN($K$2:$K$126))</f>
        <v>0.48484848484848475</v>
      </c>
      <c r="AU44" s="9">
        <f>(L44-MIN($L$2:$L$126))/(MAX($L$2:$L$126)-MIN($L$2:$L$126))</f>
        <v>4.1006014215418263E-3</v>
      </c>
      <c r="AV44" s="8">
        <f>(AI44*(Tablero!$B$5/100)+AJ44*(Tablero!$B$6/100))*(Tablero!$B$4/100)</f>
        <v>7.6675755190388856E-2</v>
      </c>
      <c r="AW44" s="8">
        <f>(AK44*(Tablero!$B$8/100))*(Tablero!$B$7/100)</f>
        <v>9.0842669264490986E-2</v>
      </c>
      <c r="AX44" s="8">
        <f>(AL44*(Tablero!$B$10/100)+AM44*(Tablero!$B$11/100)+AN44*(Tablero!$B$12/100)+AO44*(Tablero!$B$13/100)+AP44*(Tablero!$B$14/100))*(Tablero!$B$9/100)</f>
        <v>0.12864886373899664</v>
      </c>
      <c r="AY44" s="8">
        <f>(AQ44*(Tablero!$B$16/100)+AR44*(Tablero!$B$17/100)+AS44*(Tablero!$B$18/100))*(Tablero!$B$15/100)</f>
        <v>0.19642490255471023</v>
      </c>
      <c r="AZ44" s="8">
        <f>(AT44*(Tablero!$B$20/100)+AU44*(Tablero!$B$21/100))*(Tablero!$B$19/100)</f>
        <v>1.2223727156750665E-2</v>
      </c>
    </row>
    <row r="45" spans="2:52" hidden="1" x14ac:dyDescent="0.4">
      <c r="B45" t="s">
        <v>127</v>
      </c>
      <c r="C45" t="s">
        <v>128</v>
      </c>
      <c r="D45" s="3">
        <v>19907</v>
      </c>
      <c r="E45" s="3">
        <v>131</v>
      </c>
      <c r="F45">
        <v>58</v>
      </c>
      <c r="G45">
        <v>18.600000000000001</v>
      </c>
      <c r="H45">
        <v>49.3</v>
      </c>
      <c r="I45">
        <v>55.7</v>
      </c>
      <c r="J45">
        <v>23</v>
      </c>
      <c r="K45">
        <v>0.18</v>
      </c>
      <c r="L45">
        <v>59</v>
      </c>
      <c r="M45">
        <v>0</v>
      </c>
      <c r="N45">
        <v>181.83058023000001</v>
      </c>
      <c r="O45" s="3">
        <v>5.2</v>
      </c>
      <c r="P45">
        <v>35</v>
      </c>
      <c r="Q45">
        <v>73.709923664122144</v>
      </c>
      <c r="R45">
        <v>55.73</v>
      </c>
      <c r="S45">
        <v>43.51</v>
      </c>
      <c r="T45">
        <v>66.41</v>
      </c>
      <c r="U45">
        <v>61.83</v>
      </c>
      <c r="V45" s="3">
        <v>215</v>
      </c>
      <c r="W45">
        <v>7</v>
      </c>
      <c r="X45">
        <v>7</v>
      </c>
      <c r="Y45">
        <v>0</v>
      </c>
      <c r="Z45">
        <v>0</v>
      </c>
      <c r="AA45" s="3">
        <v>35.200000000000003</v>
      </c>
      <c r="AB45">
        <v>41</v>
      </c>
      <c r="AC45">
        <v>54781.29</v>
      </c>
      <c r="AD45">
        <v>0.76</v>
      </c>
      <c r="AE45">
        <v>12.2</v>
      </c>
      <c r="AF45">
        <v>3.8</v>
      </c>
      <c r="AG45" s="10">
        <f>AV45+AW45+AX45+AY45+AZ45</f>
        <v>0.46757392035104106</v>
      </c>
      <c r="AH45" t="s">
        <v>41</v>
      </c>
      <c r="AI45" s="9">
        <f>(G45-MIN($G$2:$G$126))/(MAX($G$2:$G$126)-MIN($G$2:$G$126))</f>
        <v>0.28403755868544606</v>
      </c>
      <c r="AJ45" s="9">
        <f>(N45-MIN($N$2:$N$126))/(MAX($N$2:$N$126)-MIN($N$2:$N$126))</f>
        <v>3.8350367780740904E-3</v>
      </c>
      <c r="AK45" s="9">
        <f>(O45-MIN($O$2:$O$126))/(MAX($O$2:$O$126)-MIN($O$2:$O$126))</f>
        <v>0.25328787140769604</v>
      </c>
      <c r="AL45" s="9">
        <f>(S45-MIN($S$2:$S$126))/(MAX($S$2:$S$126)-MIN($S$2:$S$126))</f>
        <v>0.76769087523277457</v>
      </c>
      <c r="AM45" s="9">
        <f>(T45-MIN($T$2:$T$126))/(MAX($T$2:$T$126)-MIN($T$2:$T$126))</f>
        <v>0.67953334293533052</v>
      </c>
      <c r="AN45" s="9">
        <f>1-(AC45-MIN($AC$2:$AC$126))/(MAX($AC$2:$AC$126)-MIN($AC$2:$AC$126))</f>
        <v>0.59908380202302869</v>
      </c>
      <c r="AO45" s="9">
        <f>(AD45-MIN($AD$2:$AD$126))/(MAX($AD$2:$AD$126)-MIN($AD$2:$AD$126))</f>
        <v>0.45508982035928147</v>
      </c>
      <c r="AP45" s="9">
        <f>1-(AE45-MIN($AE$2:$AE$126))/(MAX($AE$2:$AE$126)-MIN($AE$2:$AE$126))</f>
        <v>0.878</v>
      </c>
      <c r="AQ45" s="9">
        <f>(V45-MIN($V$2:$V$126))/(MAX($V$2:$V$126)-MIN($V$2:$V$126))</f>
        <v>0.59722222222222221</v>
      </c>
      <c r="AR45" s="9">
        <f>1-(Y45-MIN($Y$2:$Y$126))/(MAX($Y$2:$Y$126)-MIN($Y$2:$Y$126))</f>
        <v>1</v>
      </c>
      <c r="AS45" s="9">
        <f>1-(AA45-MIN($AA$2:$AA$126))/(MAX($AA$2:$AA$126)-MIN($AA$2:$AA$126))</f>
        <v>0.76246830092983942</v>
      </c>
      <c r="AT45" s="9">
        <f>(K45-MIN($K$2:$K$126))/(MAX($K$2:$K$126)-MIN($K$2:$K$126))</f>
        <v>0.39393939393939392</v>
      </c>
      <c r="AU45" s="9">
        <f>(L45-MIN($L$2:$L$126))/(MAX($L$2:$L$126)-MIN($L$2:$L$126))</f>
        <v>7.2443958447238931E-3</v>
      </c>
      <c r="AV45" s="8">
        <f>(AI45*(Tablero!$B$5/100)+AJ45*(Tablero!$B$6/100))*(Tablero!$B$4/100)</f>
        <v>4.2989137480624315E-2</v>
      </c>
      <c r="AW45" s="8">
        <f>(AK45*(Tablero!$B$8/100))*(Tablero!$B$7/100)</f>
        <v>6.332196785192401E-2</v>
      </c>
      <c r="AX45" s="8">
        <f>(AL45*(Tablero!$B$10/100)+AM45*(Tablero!$B$11/100)+AN45*(Tablero!$B$12/100)+AO45*(Tablero!$B$13/100)+AP45*(Tablero!$B$14/100))*(Tablero!$B$9/100)</f>
        <v>0.14744929052842154</v>
      </c>
      <c r="AY45" s="8">
        <f>(AQ45*(Tablero!$B$16/100)+AR45*(Tablero!$B$17/100)+AS45*(Tablero!$B$18/100))*(Tablero!$B$15/100)</f>
        <v>0.20378392974546822</v>
      </c>
      <c r="AZ45" s="8">
        <f>(AT45*(Tablero!$B$20/100)+AU45*(Tablero!$B$21/100))*(Tablero!$B$19/100)</f>
        <v>1.0029594744602946E-2</v>
      </c>
    </row>
    <row r="46" spans="2:52" hidden="1" x14ac:dyDescent="0.4">
      <c r="B46" t="s">
        <v>129</v>
      </c>
      <c r="C46" t="s">
        <v>130</v>
      </c>
      <c r="D46" s="3">
        <v>11911</v>
      </c>
      <c r="E46" s="3">
        <v>128</v>
      </c>
      <c r="F46">
        <v>56</v>
      </c>
      <c r="G46">
        <v>30.4</v>
      </c>
      <c r="H46">
        <v>79.8</v>
      </c>
      <c r="I46">
        <v>56.2</v>
      </c>
      <c r="J46">
        <v>33</v>
      </c>
      <c r="K46">
        <v>0.26</v>
      </c>
      <c r="L46">
        <v>56</v>
      </c>
      <c r="M46">
        <v>3</v>
      </c>
      <c r="N46">
        <v>120.13038525</v>
      </c>
      <c r="O46" s="3">
        <v>4.62</v>
      </c>
      <c r="P46">
        <v>26</v>
      </c>
      <c r="Q46">
        <v>72.6953125</v>
      </c>
      <c r="R46">
        <v>45.31</v>
      </c>
      <c r="S46">
        <v>38.28</v>
      </c>
      <c r="T46">
        <v>60.94</v>
      </c>
      <c r="U46">
        <v>47.66</v>
      </c>
      <c r="V46" s="3">
        <v>285</v>
      </c>
      <c r="W46">
        <v>6</v>
      </c>
      <c r="X46">
        <v>5</v>
      </c>
      <c r="Y46">
        <v>1</v>
      </c>
      <c r="Z46">
        <v>0</v>
      </c>
      <c r="AA46" s="3">
        <v>50.4</v>
      </c>
      <c r="AB46">
        <v>34</v>
      </c>
      <c r="AC46">
        <v>40595.58</v>
      </c>
      <c r="AD46">
        <v>0.91</v>
      </c>
      <c r="AE46">
        <v>50</v>
      </c>
      <c r="AF46">
        <v>3.51</v>
      </c>
      <c r="AG46" s="10">
        <f>AV46+AW46+AX46+AY46+AZ46</f>
        <v>0.4901944790643773</v>
      </c>
      <c r="AH46" t="s">
        <v>41</v>
      </c>
      <c r="AI46" s="9">
        <f>(G46-MIN($G$2:$G$126))/(MAX($G$2:$G$126)-MIN($G$2:$G$126))</f>
        <v>0.56103286384976525</v>
      </c>
      <c r="AJ46" s="9">
        <f>(N46-MIN($N$2:$N$126))/(MAX($N$2:$N$126)-MIN($N$2:$N$126))</f>
        <v>2.5337016744664612E-3</v>
      </c>
      <c r="AK46" s="9">
        <f>(O46-MIN($O$2:$O$126))/(MAX($O$2:$O$126)-MIN($O$2:$O$126))</f>
        <v>0.22503653190452994</v>
      </c>
      <c r="AL46" s="9">
        <f>(S46-MIN($S$2:$S$126))/(MAX($S$2:$S$126)-MIN($S$2:$S$126))</f>
        <v>0.64594972067039103</v>
      </c>
      <c r="AM46" s="9">
        <f>(T46-MIN($T$2:$T$126))/(MAX($T$2:$T$126)-MIN($T$2:$T$126))</f>
        <v>0.60074895578280285</v>
      </c>
      <c r="AN46" s="9">
        <f>1-(AC46-MIN($AC$2:$AC$126))/(MAX($AC$2:$AC$126)-MIN($AC$2:$AC$126))</f>
        <v>0.74354216374251136</v>
      </c>
      <c r="AO46" s="9">
        <f>(AD46-MIN($AD$2:$AD$126))/(MAX($AD$2:$AD$126)-MIN($AD$2:$AD$126))</f>
        <v>0.54491017964071864</v>
      </c>
      <c r="AP46" s="9">
        <f>1-(AE46-MIN($AE$2:$AE$126))/(MAX($AE$2:$AE$126)-MIN($AE$2:$AE$126))</f>
        <v>0.5</v>
      </c>
      <c r="AQ46" s="9">
        <f>(V46-MIN($V$2:$V$126))/(MAX($V$2:$V$126)-MIN($V$2:$V$126))</f>
        <v>0.79166666666666663</v>
      </c>
      <c r="AR46" s="9">
        <f>1-(Y46-MIN($Y$2:$Y$126))/(MAX($Y$2:$Y$126)-MIN($Y$2:$Y$126))</f>
        <v>0.98958333333333337</v>
      </c>
      <c r="AS46" s="9">
        <f>1-(AA46-MIN($AA$2:$AA$126))/(MAX($AA$2:$AA$126)-MIN($AA$2:$AA$126))</f>
        <v>0.63398140321217245</v>
      </c>
      <c r="AT46" s="9">
        <f>(K46-MIN($K$2:$K$126))/(MAX($K$2:$K$126)-MIN($K$2:$K$126))</f>
        <v>0.63636363636363635</v>
      </c>
      <c r="AU46" s="9">
        <f>(L46-MIN($L$2:$L$126))/(MAX($L$2:$L$126)-MIN($L$2:$L$126))</f>
        <v>6.8343357025697103E-3</v>
      </c>
      <c r="AV46" s="8">
        <f>(AI46*(Tablero!$B$5/100)+AJ46*(Tablero!$B$6/100))*(Tablero!$B$4/100)</f>
        <v>8.440829974491143E-2</v>
      </c>
      <c r="AW46" s="8">
        <f>(AK46*(Tablero!$B$8/100))*(Tablero!$B$7/100)</f>
        <v>5.6259132976132484E-2</v>
      </c>
      <c r="AX46" s="8">
        <f>(AL46*(Tablero!$B$10/100)+AM46*(Tablero!$B$11/100)+AN46*(Tablero!$B$12/100)+AO46*(Tablero!$B$13/100)+AP46*(Tablero!$B$14/100))*(Tablero!$B$9/100)</f>
        <v>0.1147329786280406</v>
      </c>
      <c r="AY46" s="8">
        <f>(AQ46*(Tablero!$B$16/100)+AR46*(Tablero!$B$17/100)+AS46*(Tablero!$B$18/100))*(Tablero!$B$15/100)</f>
        <v>0.21871411841363766</v>
      </c>
      <c r="AZ46" s="8">
        <f>(AT46*(Tablero!$B$20/100)+AU46*(Tablero!$B$21/100))*(Tablero!$B$19/100)</f>
        <v>1.6079949301655152E-2</v>
      </c>
    </row>
    <row r="47" spans="2:52" hidden="1" x14ac:dyDescent="0.4">
      <c r="B47" t="s">
        <v>131</v>
      </c>
      <c r="C47" t="s">
        <v>132</v>
      </c>
      <c r="D47" s="3">
        <v>7416</v>
      </c>
      <c r="E47" s="3">
        <v>97</v>
      </c>
      <c r="F47">
        <v>52</v>
      </c>
      <c r="G47">
        <v>35.200000000000003</v>
      </c>
      <c r="H47">
        <v>113.2</v>
      </c>
      <c r="I47">
        <v>46.4</v>
      </c>
      <c r="J47">
        <v>15</v>
      </c>
      <c r="K47">
        <v>0.16</v>
      </c>
      <c r="L47">
        <v>53</v>
      </c>
      <c r="M47">
        <v>2</v>
      </c>
      <c r="N47">
        <v>116.71694474</v>
      </c>
      <c r="O47" s="3">
        <v>3.24</v>
      </c>
      <c r="P47">
        <v>36</v>
      </c>
      <c r="Q47">
        <v>73.268041237113408</v>
      </c>
      <c r="R47">
        <v>44.33</v>
      </c>
      <c r="S47">
        <v>34.020000000000003</v>
      </c>
      <c r="T47">
        <v>88.66</v>
      </c>
      <c r="U47">
        <v>70.099999999999994</v>
      </c>
      <c r="V47" s="3">
        <v>45</v>
      </c>
      <c r="W47">
        <v>4</v>
      </c>
      <c r="X47">
        <v>4</v>
      </c>
      <c r="Y47">
        <v>0</v>
      </c>
      <c r="Z47">
        <v>0</v>
      </c>
      <c r="AA47" s="3">
        <v>53.9</v>
      </c>
      <c r="AB47">
        <v>62</v>
      </c>
      <c r="AC47">
        <v>38500.89</v>
      </c>
      <c r="AD47">
        <v>0.02</v>
      </c>
      <c r="AE47">
        <v>38.71</v>
      </c>
      <c r="AF47">
        <v>6.63</v>
      </c>
      <c r="AG47" s="10">
        <f>AV47+AW47+AX47+AY47+AZ47</f>
        <v>0.43736553461459593</v>
      </c>
      <c r="AH47" t="s">
        <v>41</v>
      </c>
      <c r="AI47" s="9">
        <f>(G47-MIN($G$2:$G$126))/(MAX($G$2:$G$126)-MIN($G$2:$G$126))</f>
        <v>0.67370892018779349</v>
      </c>
      <c r="AJ47" s="9">
        <f>(N47-MIN($N$2:$N$126))/(MAX($N$2:$N$126)-MIN($N$2:$N$126))</f>
        <v>2.4617078993871572E-3</v>
      </c>
      <c r="AK47" s="9">
        <f>(O47-MIN($O$2:$O$126))/(MAX($O$2:$O$126)-MIN($O$2:$O$126))</f>
        <v>0.15781782756941062</v>
      </c>
      <c r="AL47" s="9">
        <f>(S47-MIN($S$2:$S$126))/(MAX($S$2:$S$126)-MIN($S$2:$S$126))</f>
        <v>0.54678770949720679</v>
      </c>
      <c r="AM47" s="9">
        <f>(T47-MIN($T$2:$T$126))/(MAX($T$2:$T$126)-MIN($T$2:$T$126))</f>
        <v>1</v>
      </c>
      <c r="AN47" s="9">
        <f>1-(AC47-MIN($AC$2:$AC$126))/(MAX($AC$2:$AC$126)-MIN($AC$2:$AC$126))</f>
        <v>0.7648731711936847</v>
      </c>
      <c r="AO47" s="9">
        <f>(AD47-MIN($AD$2:$AD$126))/(MAX($AD$2:$AD$126)-MIN($AD$2:$AD$126))</f>
        <v>1.1976047904191617E-2</v>
      </c>
      <c r="AP47" s="9">
        <f>1-(AE47-MIN($AE$2:$AE$126))/(MAX($AE$2:$AE$126)-MIN($AE$2:$AE$126))</f>
        <v>0.6129</v>
      </c>
      <c r="AQ47" s="9">
        <f>(V47-MIN($V$2:$V$126))/(MAX($V$2:$V$126)-MIN($V$2:$V$126))</f>
        <v>0.125</v>
      </c>
      <c r="AR47" s="9">
        <f>1-(Y47-MIN($Y$2:$Y$126))/(MAX($Y$2:$Y$126)-MIN($Y$2:$Y$126))</f>
        <v>1</v>
      </c>
      <c r="AS47" s="9">
        <f>1-(AA47-MIN($AA$2:$AA$126))/(MAX($AA$2:$AA$126)-MIN($AA$2:$AA$126))</f>
        <v>0.60439560439560447</v>
      </c>
      <c r="AT47" s="9">
        <f>(K47-MIN($K$2:$K$126))/(MAX($K$2:$K$126)-MIN($K$2:$K$126))</f>
        <v>0.33333333333333331</v>
      </c>
      <c r="AU47" s="9">
        <f>(L47-MIN($L$2:$L$126))/(MAX($L$2:$L$126)-MIN($L$2:$L$126))</f>
        <v>6.4242755604155275E-3</v>
      </c>
      <c r="AV47" s="8">
        <f>(AI47*(Tablero!$B$5/100)+AJ47*(Tablero!$B$6/100))*(Tablero!$B$4/100)</f>
        <v>0.10130250881810773</v>
      </c>
      <c r="AW47" s="8">
        <f>(AK47*(Tablero!$B$8/100))*(Tablero!$B$7/100)</f>
        <v>3.9454456892352656E-2</v>
      </c>
      <c r="AX47" s="8">
        <f>(AL47*(Tablero!$B$10/100)+AM47*(Tablero!$B$11/100)+AN47*(Tablero!$B$12/100)+AO47*(Tablero!$B$13/100)+AP47*(Tablero!$B$14/100))*(Tablero!$B$9/100)</f>
        <v>0.13550473857190168</v>
      </c>
      <c r="AY47" s="8">
        <f>(AQ47*(Tablero!$B$16/100)+AR47*(Tablero!$B$17/100)+AS47*(Tablero!$B$18/100))*(Tablero!$B$15/100)</f>
        <v>0.15260989010989012</v>
      </c>
      <c r="AZ47" s="8">
        <f>(AT47*(Tablero!$B$20/100)+AU47*(Tablero!$B$21/100))*(Tablero!$B$19/100)</f>
        <v>8.4939402223437217E-3</v>
      </c>
    </row>
    <row r="48" spans="2:52" x14ac:dyDescent="0.4">
      <c r="B48" t="s">
        <v>133</v>
      </c>
      <c r="C48" t="s">
        <v>134</v>
      </c>
      <c r="D48" s="3">
        <v>35808</v>
      </c>
      <c r="E48" s="3">
        <v>286</v>
      </c>
      <c r="F48">
        <v>99</v>
      </c>
      <c r="G48">
        <v>21.9</v>
      </c>
      <c r="H48">
        <v>45.5</v>
      </c>
      <c r="I48">
        <v>65.400000000000006</v>
      </c>
      <c r="J48">
        <v>59</v>
      </c>
      <c r="K48">
        <v>0.21</v>
      </c>
      <c r="L48">
        <v>148</v>
      </c>
      <c r="M48">
        <v>6</v>
      </c>
      <c r="N48">
        <v>611.4121599099999</v>
      </c>
      <c r="O48" s="3">
        <v>8.86</v>
      </c>
      <c r="P48">
        <v>69</v>
      </c>
      <c r="Q48">
        <v>71.800699300699307</v>
      </c>
      <c r="R48">
        <v>46.85</v>
      </c>
      <c r="S48">
        <v>37.76</v>
      </c>
      <c r="T48">
        <v>50.7</v>
      </c>
      <c r="U48">
        <v>51.05</v>
      </c>
      <c r="V48" s="3">
        <v>305</v>
      </c>
      <c r="W48">
        <v>15</v>
      </c>
      <c r="X48">
        <v>14</v>
      </c>
      <c r="Y48">
        <v>1</v>
      </c>
      <c r="Z48">
        <v>0</v>
      </c>
      <c r="AA48" s="3">
        <v>41.9</v>
      </c>
      <c r="AB48">
        <v>175</v>
      </c>
      <c r="AC48">
        <v>45820.33</v>
      </c>
      <c r="AD48">
        <v>0.45</v>
      </c>
      <c r="AE48">
        <v>30.29</v>
      </c>
      <c r="AF48">
        <v>4.6100000000000003</v>
      </c>
      <c r="AG48" s="10">
        <f>AV48+AW48+AX48+AY48+AZ48</f>
        <v>0.51691479243135796</v>
      </c>
      <c r="AH48" t="s">
        <v>41</v>
      </c>
      <c r="AI48" s="9">
        <f>(G48-MIN($G$2:$G$126))/(MAX($G$2:$G$126)-MIN($G$2:$G$126))</f>
        <v>0.36150234741784032</v>
      </c>
      <c r="AJ48" s="9">
        <f>(N48-MIN($N$2:$N$126))/(MAX($N$2:$N$126)-MIN($N$2:$N$126))</f>
        <v>1.289545530158135E-2</v>
      </c>
      <c r="AK48" s="9">
        <f>(O48-MIN($O$2:$O$126))/(MAX($O$2:$O$126)-MIN($O$2:$O$126))</f>
        <v>0.43156356551388209</v>
      </c>
      <c r="AL48" s="9">
        <f>(S48-MIN($S$2:$S$126))/(MAX($S$2:$S$126)-MIN($S$2:$S$126))</f>
        <v>0.63384543761638723</v>
      </c>
      <c r="AM48" s="9">
        <f>(T48-MIN($T$2:$T$126))/(MAX($T$2:$T$126)-MIN($T$2:$T$126))</f>
        <v>0.4532622785539393</v>
      </c>
      <c r="AN48" s="9">
        <f>1-(AC48-MIN($AC$2:$AC$126))/(MAX($AC$2:$AC$126)-MIN($AC$2:$AC$126))</f>
        <v>0.69033659099402944</v>
      </c>
      <c r="AO48" s="9">
        <f>(AD48-MIN($AD$2:$AD$126))/(MAX($AD$2:$AD$126)-MIN($AD$2:$AD$126))</f>
        <v>0.26946107784431139</v>
      </c>
      <c r="AP48" s="9">
        <f>1-(AE48-MIN($AE$2:$AE$126))/(MAX($AE$2:$AE$126)-MIN($AE$2:$AE$126))</f>
        <v>0.69710000000000005</v>
      </c>
      <c r="AQ48" s="9">
        <f>(V48-MIN($V$2:$V$126))/(MAX($V$2:$V$126)-MIN($V$2:$V$126))</f>
        <v>0.84722222222222221</v>
      </c>
      <c r="AR48" s="9">
        <f>1-(Y48-MIN($Y$2:$Y$126))/(MAX($Y$2:$Y$126)-MIN($Y$2:$Y$126))</f>
        <v>0.98958333333333337</v>
      </c>
      <c r="AS48" s="9">
        <f>1-(AA48-MIN($AA$2:$AA$126))/(MAX($AA$2:$AA$126)-MIN($AA$2:$AA$126))</f>
        <v>0.70583262890955201</v>
      </c>
      <c r="AT48" s="9">
        <f>(K48-MIN($K$2:$K$126))/(MAX($K$2:$K$126)-MIN($K$2:$K$126))</f>
        <v>0.48484848484848475</v>
      </c>
      <c r="AU48" s="9">
        <f>(L48-MIN($L$2:$L$126))/(MAX($L$2:$L$126)-MIN($L$2:$L$126))</f>
        <v>1.9409513395297978E-2</v>
      </c>
      <c r="AV48" s="8">
        <f>(AI48*(Tablero!$B$5/100)+AJ48*(Tablero!$B$6/100))*(Tablero!$B$4/100)</f>
        <v>5.5514897642834182E-2</v>
      </c>
      <c r="AW48" s="8">
        <f>(AK48*(Tablero!$B$8/100))*(Tablero!$B$7/100)</f>
        <v>0.10789089137847052</v>
      </c>
      <c r="AX48" s="8">
        <f>(AL48*(Tablero!$B$10/100)+AM48*(Tablero!$B$11/100)+AN48*(Tablero!$B$12/100)+AO48*(Tablero!$B$13/100)+AP48*(Tablero!$B$14/100))*(Tablero!$B$9/100)</f>
        <v>0.11483659884233094</v>
      </c>
      <c r="AY48" s="8">
        <f>(AQ48*(Tablero!$B$16/100)+AR48*(Tablero!$B$17/100)+AS48*(Tablero!$B$18/100))*(Tablero!$B$15/100)</f>
        <v>0.22606595461162768</v>
      </c>
      <c r="AZ48" s="8">
        <f>(AT48*(Tablero!$B$20/100)+AU48*(Tablero!$B$21/100))*(Tablero!$B$19/100)</f>
        <v>1.2606449956094569E-2</v>
      </c>
    </row>
    <row r="49" spans="2:52" hidden="1" x14ac:dyDescent="0.4">
      <c r="B49" t="s">
        <v>135</v>
      </c>
      <c r="C49" t="s">
        <v>136</v>
      </c>
      <c r="D49" s="3">
        <v>5547</v>
      </c>
      <c r="E49" s="3">
        <v>58</v>
      </c>
      <c r="F49">
        <v>27</v>
      </c>
      <c r="G49">
        <v>28.8</v>
      </c>
      <c r="H49">
        <v>80.5</v>
      </c>
      <c r="I49">
        <v>53.4</v>
      </c>
      <c r="J49">
        <v>16</v>
      </c>
      <c r="K49">
        <v>0.28000000000000003</v>
      </c>
      <c r="L49">
        <v>31</v>
      </c>
      <c r="M49">
        <v>0</v>
      </c>
      <c r="N49">
        <v>54.235035669999988</v>
      </c>
      <c r="O49" s="3">
        <v>3.39</v>
      </c>
      <c r="P49">
        <v>16</v>
      </c>
      <c r="Q49">
        <v>74.189655172413794</v>
      </c>
      <c r="R49">
        <v>44.83</v>
      </c>
      <c r="S49">
        <v>41.38</v>
      </c>
      <c r="T49">
        <v>58.62</v>
      </c>
      <c r="U49">
        <v>62.07</v>
      </c>
      <c r="V49" s="3">
        <v>145</v>
      </c>
      <c r="W49">
        <v>3</v>
      </c>
      <c r="X49">
        <v>3</v>
      </c>
      <c r="Y49">
        <v>0</v>
      </c>
      <c r="Z49">
        <v>0</v>
      </c>
      <c r="AA49" s="3">
        <v>54.1</v>
      </c>
      <c r="AB49">
        <v>19</v>
      </c>
      <c r="AC49">
        <v>30026.080000000002</v>
      </c>
      <c r="AD49">
        <v>0</v>
      </c>
      <c r="AE49">
        <v>36.840000000000003</v>
      </c>
      <c r="AF49">
        <v>2.52</v>
      </c>
      <c r="AG49" s="10">
        <f>AV49+AW49+AX49+AY49+AZ49</f>
        <v>0.43372538550532747</v>
      </c>
      <c r="AH49" t="s">
        <v>41</v>
      </c>
      <c r="AI49" s="9">
        <f>(G49-MIN($G$2:$G$126))/(MAX($G$2:$G$126)-MIN($G$2:$G$126))</f>
        <v>0.52347417840375587</v>
      </c>
      <c r="AJ49" s="9">
        <f>(N49-MIN($N$2:$N$126))/(MAX($N$2:$N$126)-MIN($N$2:$N$126))</f>
        <v>1.1438854575039933E-3</v>
      </c>
      <c r="AK49" s="9">
        <f>(O49-MIN($O$2:$O$126))/(MAX($O$2:$O$126)-MIN($O$2:$O$126))</f>
        <v>0.16512420847540185</v>
      </c>
      <c r="AL49" s="9">
        <f>(S49-MIN($S$2:$S$126))/(MAX($S$2:$S$126)-MIN($S$2:$S$126))</f>
        <v>0.71810986964618251</v>
      </c>
      <c r="AM49" s="9">
        <f>(T49-MIN($T$2:$T$126))/(MAX($T$2:$T$126)-MIN($T$2:$T$126))</f>
        <v>0.5673340054731385</v>
      </c>
      <c r="AN49" s="9">
        <f>1-(AC49-MIN($AC$2:$AC$126))/(MAX($AC$2:$AC$126)-MIN($AC$2:$AC$126))</f>
        <v>0.85117531387698286</v>
      </c>
      <c r="AO49" s="9">
        <f>(AD49-MIN($AD$2:$AD$126))/(MAX($AD$2:$AD$126)-MIN($AD$2:$AD$126))</f>
        <v>0</v>
      </c>
      <c r="AP49" s="9">
        <f>1-(AE49-MIN($AE$2:$AE$126))/(MAX($AE$2:$AE$126)-MIN($AE$2:$AE$126))</f>
        <v>0.63159999999999994</v>
      </c>
      <c r="AQ49" s="9">
        <f>(V49-MIN($V$2:$V$126))/(MAX($V$2:$V$126)-MIN($V$2:$V$126))</f>
        <v>0.40277777777777779</v>
      </c>
      <c r="AR49" s="9">
        <f>1-(Y49-MIN($Y$2:$Y$126))/(MAX($Y$2:$Y$126)-MIN($Y$2:$Y$126))</f>
        <v>1</v>
      </c>
      <c r="AS49" s="9">
        <f>1-(AA49-MIN($AA$2:$AA$126))/(MAX($AA$2:$AA$126)-MIN($AA$2:$AA$126))</f>
        <v>0.60270498732037203</v>
      </c>
      <c r="AT49" s="9">
        <f>(K49-MIN($K$2:$K$126))/(MAX($K$2:$K$126)-MIN($K$2:$K$126))</f>
        <v>0.69696969696969702</v>
      </c>
      <c r="AU49" s="9">
        <f>(L49-MIN($L$2:$L$126))/(MAX($L$2:$L$126)-MIN($L$2:$L$126))</f>
        <v>3.4171678512848551E-3</v>
      </c>
      <c r="AV49" s="8">
        <f>(AI49*(Tablero!$B$5/100)+AJ49*(Tablero!$B$6/100))*(Tablero!$B$4/100)</f>
        <v>7.8635515306313769E-2</v>
      </c>
      <c r="AW49" s="8">
        <f>(AK49*(Tablero!$B$8/100))*(Tablero!$B$7/100)</f>
        <v>4.1281052118850463E-2</v>
      </c>
      <c r="AX49" s="8">
        <f>(AL49*(Tablero!$B$10/100)+AM49*(Tablero!$B$11/100)+AN49*(Tablero!$B$12/100)+AO49*(Tablero!$B$13/100)+AP49*(Tablero!$B$14/100))*(Tablero!$B$9/100)</f>
        <v>0.11595374399885161</v>
      </c>
      <c r="AY49" s="8">
        <f>(AQ49*(Tablero!$B$16/100)+AR49*(Tablero!$B$17/100)+AS49*(Tablero!$B$18/100))*(Tablero!$B$15/100)</f>
        <v>0.18034540246078706</v>
      </c>
      <c r="AZ49" s="8">
        <f>(AT49*(Tablero!$B$20/100)+AU49*(Tablero!$B$21/100))*(Tablero!$B$19/100)</f>
        <v>1.7509671620524549E-2</v>
      </c>
    </row>
    <row r="50" spans="2:52" hidden="1" x14ac:dyDescent="0.4">
      <c r="B50" t="s">
        <v>137</v>
      </c>
      <c r="C50" t="s">
        <v>138</v>
      </c>
      <c r="D50" s="3">
        <v>9500</v>
      </c>
      <c r="E50" s="3">
        <v>104</v>
      </c>
      <c r="F50">
        <v>39</v>
      </c>
      <c r="G50">
        <v>30.3</v>
      </c>
      <c r="H50">
        <v>68.099999999999994</v>
      </c>
      <c r="I50">
        <v>62.5</v>
      </c>
      <c r="J50">
        <v>28</v>
      </c>
      <c r="K50">
        <v>0.27</v>
      </c>
      <c r="L50">
        <v>59</v>
      </c>
      <c r="M50">
        <v>3</v>
      </c>
      <c r="N50">
        <v>144.27985296</v>
      </c>
      <c r="O50" s="3">
        <v>6.56</v>
      </c>
      <c r="P50">
        <v>22</v>
      </c>
      <c r="Q50">
        <v>71.70192307692308</v>
      </c>
      <c r="R50">
        <v>46.15</v>
      </c>
      <c r="S50">
        <v>36.54</v>
      </c>
      <c r="T50">
        <v>38.46</v>
      </c>
      <c r="U50">
        <v>58.65</v>
      </c>
      <c r="V50" s="3">
        <v>78</v>
      </c>
      <c r="W50">
        <v>4</v>
      </c>
      <c r="X50">
        <v>4</v>
      </c>
      <c r="Y50">
        <v>0</v>
      </c>
      <c r="Z50">
        <v>0</v>
      </c>
      <c r="AA50" s="3">
        <v>42.1</v>
      </c>
      <c r="AC50">
        <v>52157.1</v>
      </c>
      <c r="AD50">
        <v>0.12</v>
      </c>
      <c r="AE50">
        <v>45.83</v>
      </c>
      <c r="AF50">
        <v>3.02</v>
      </c>
      <c r="AG50" s="10">
        <f>AV50+AW50+AX50+AY50+AZ50</f>
        <v>0.4311245917551188</v>
      </c>
      <c r="AH50" t="s">
        <v>48</v>
      </c>
      <c r="AI50" s="9">
        <f>(G50-MIN($G$2:$G$126))/(MAX($G$2:$G$126)-MIN($G$2:$G$126))</f>
        <v>0.55868544600938963</v>
      </c>
      <c r="AJ50" s="9">
        <f>(N50-MIN($N$2:$N$126))/(MAX($N$2:$N$126)-MIN($N$2:$N$126))</f>
        <v>3.0430444743498133E-3</v>
      </c>
      <c r="AK50" s="9">
        <f>(O50-MIN($O$2:$O$126))/(MAX($O$2:$O$126)-MIN($O$2:$O$126))</f>
        <v>0.31953239162201652</v>
      </c>
      <c r="AL50" s="9">
        <f>(S50-MIN($S$2:$S$126))/(MAX($S$2:$S$126)-MIN($S$2:$S$126))</f>
        <v>0.60544692737430161</v>
      </c>
      <c r="AM50" s="9">
        <f>(T50-MIN($T$2:$T$126))/(MAX($T$2:$T$126)-MIN($T$2:$T$126))</f>
        <v>0.27696960967881323</v>
      </c>
      <c r="AN50" s="9">
        <f>1-(AC50-MIN($AC$2:$AC$126))/(MAX($AC$2:$AC$126)-MIN($AC$2:$AC$126))</f>
        <v>0.62580690493720414</v>
      </c>
      <c r="AO50" s="9">
        <f>(AD50-MIN($AD$2:$AD$126))/(MAX($AD$2:$AD$126)-MIN($AD$2:$AD$126))</f>
        <v>7.1856287425149698E-2</v>
      </c>
      <c r="AP50" s="9">
        <f>1-(AE50-MIN($AE$2:$AE$126))/(MAX($AE$2:$AE$126)-MIN($AE$2:$AE$126))</f>
        <v>0.54170000000000007</v>
      </c>
      <c r="AQ50" s="9">
        <f>(V50-MIN($V$2:$V$126))/(MAX($V$2:$V$126)-MIN($V$2:$V$126))</f>
        <v>0.21666666666666667</v>
      </c>
      <c r="AR50" s="9">
        <f>1-(Y50-MIN($Y$2:$Y$126))/(MAX($Y$2:$Y$126)-MIN($Y$2:$Y$126))</f>
        <v>1</v>
      </c>
      <c r="AS50" s="9">
        <f>1-(AA50-MIN($AA$2:$AA$126))/(MAX($AA$2:$AA$126)-MIN($AA$2:$AA$126))</f>
        <v>0.70414201183431957</v>
      </c>
      <c r="AT50" s="9">
        <f>(K50-MIN($K$2:$K$126))/(MAX($K$2:$K$126)-MIN($K$2:$K$126))</f>
        <v>0.66666666666666674</v>
      </c>
      <c r="AU50" s="9">
        <f>(L50-MIN($L$2:$L$126))/(MAX($L$2:$L$126)-MIN($L$2:$L$126))</f>
        <v>7.2443958447238931E-3</v>
      </c>
      <c r="AV50" s="8">
        <f>(AI50*(Tablero!$B$5/100)+AJ50*(Tablero!$B$6/100))*(Tablero!$B$4/100)</f>
        <v>8.4107121348843419E-2</v>
      </c>
      <c r="AW50" s="8">
        <f>(AK50*(Tablero!$B$8/100))*(Tablero!$B$7/100)</f>
        <v>7.988309790550413E-2</v>
      </c>
      <c r="AX50" s="8">
        <f>(AL50*(Tablero!$B$10/100)+AM50*(Tablero!$B$11/100)+AN50*(Tablero!$B$12/100)+AO50*(Tablero!$B$13/100)+AP50*(Tablero!$B$14/100))*(Tablero!$B$9/100)</f>
        <v>8.601637897546191E-2</v>
      </c>
      <c r="AY50" s="8">
        <f>(AQ50*(Tablero!$B$16/100)+AR50*(Tablero!$B$17/100)+AS50*(Tablero!$B$18/100))*(Tablero!$B$15/100)</f>
        <v>0.16427021696252467</v>
      </c>
      <c r="AZ50" s="8">
        <f>(AT50*(Tablero!$B$20/100)+AU50*(Tablero!$B$21/100))*(Tablero!$B$19/100)</f>
        <v>1.6847776562784769E-2</v>
      </c>
    </row>
    <row r="51" spans="2:52" hidden="1" x14ac:dyDescent="0.4">
      <c r="B51" t="s">
        <v>139</v>
      </c>
      <c r="C51" t="s">
        <v>140</v>
      </c>
      <c r="D51" s="3">
        <v>40300</v>
      </c>
      <c r="E51" s="3">
        <v>371</v>
      </c>
      <c r="F51">
        <v>154</v>
      </c>
      <c r="G51">
        <v>25.4</v>
      </c>
      <c r="H51">
        <v>63.3</v>
      </c>
      <c r="I51">
        <v>58.5</v>
      </c>
      <c r="J51">
        <v>78</v>
      </c>
      <c r="K51">
        <v>0.21</v>
      </c>
      <c r="L51">
        <v>205</v>
      </c>
      <c r="M51">
        <v>5</v>
      </c>
      <c r="N51">
        <v>802.9216679499998</v>
      </c>
      <c r="O51" s="3">
        <v>6.86</v>
      </c>
      <c r="P51">
        <v>117</v>
      </c>
      <c r="Q51">
        <v>71.84905660377359</v>
      </c>
      <c r="R51">
        <v>55.26</v>
      </c>
      <c r="S51">
        <v>41.51</v>
      </c>
      <c r="T51">
        <v>76.28</v>
      </c>
      <c r="U51">
        <v>68.459999999999994</v>
      </c>
      <c r="V51" s="3">
        <v>225</v>
      </c>
      <c r="W51">
        <v>13</v>
      </c>
      <c r="X51">
        <v>10</v>
      </c>
      <c r="Y51">
        <v>3</v>
      </c>
      <c r="Z51">
        <v>0</v>
      </c>
      <c r="AA51" s="3">
        <v>32.299999999999997</v>
      </c>
      <c r="AC51">
        <v>52157.1</v>
      </c>
      <c r="AD51">
        <v>0.12</v>
      </c>
      <c r="AE51">
        <v>45.83</v>
      </c>
      <c r="AF51">
        <v>3.02</v>
      </c>
      <c r="AG51" s="10">
        <f>AV51+AW51+AX51+AY51+AZ51</f>
        <v>0.48886201951797353</v>
      </c>
      <c r="AH51" t="s">
        <v>48</v>
      </c>
      <c r="AI51" s="9">
        <f>(G51-MIN($G$2:$G$126))/(MAX($G$2:$G$126)-MIN($G$2:$G$126))</f>
        <v>0.44366197183098588</v>
      </c>
      <c r="AJ51" s="9">
        <f>(N51-MIN($N$2:$N$126))/(MAX($N$2:$N$126)-MIN($N$2:$N$126))</f>
        <v>1.6934632901714753E-2</v>
      </c>
      <c r="AK51" s="9">
        <f>(O51-MIN($O$2:$O$126))/(MAX($O$2:$O$126)-MIN($O$2:$O$126))</f>
        <v>0.33414515343399903</v>
      </c>
      <c r="AL51" s="9">
        <f>(S51-MIN($S$2:$S$126))/(MAX($S$2:$S$126)-MIN($S$2:$S$126))</f>
        <v>0.72113594040968332</v>
      </c>
      <c r="AM51" s="9">
        <f>(T51-MIN($T$2:$T$126))/(MAX($T$2:$T$126)-MIN($T$2:$T$126))</f>
        <v>0.8216909117096356</v>
      </c>
      <c r="AN51" s="9">
        <f>1-(AC51-MIN($AC$2:$AC$126))/(MAX($AC$2:$AC$126)-MIN($AC$2:$AC$126))</f>
        <v>0.62580690493720414</v>
      </c>
      <c r="AO51" s="9">
        <f>(AD51-MIN($AD$2:$AD$126))/(MAX($AD$2:$AD$126)-MIN($AD$2:$AD$126))</f>
        <v>7.1856287425149698E-2</v>
      </c>
      <c r="AP51" s="9">
        <f>1-(AE51-MIN($AE$2:$AE$126))/(MAX($AE$2:$AE$126)-MIN($AE$2:$AE$126))</f>
        <v>0.54170000000000007</v>
      </c>
      <c r="AQ51" s="9">
        <f>(V51-MIN($V$2:$V$126))/(MAX($V$2:$V$126)-MIN($V$2:$V$126))</f>
        <v>0.625</v>
      </c>
      <c r="AR51" s="9">
        <f>1-(Y51-MIN($Y$2:$Y$126))/(MAX($Y$2:$Y$126)-MIN($Y$2:$Y$126))</f>
        <v>0.96875</v>
      </c>
      <c r="AS51" s="9">
        <f>1-(AA51-MIN($AA$2:$AA$126))/(MAX($AA$2:$AA$126)-MIN($AA$2:$AA$126))</f>
        <v>0.78698224852071008</v>
      </c>
      <c r="AT51" s="9">
        <f>(K51-MIN($K$2:$K$126))/(MAX($K$2:$K$126)-MIN($K$2:$K$126))</f>
        <v>0.48484848484848475</v>
      </c>
      <c r="AU51" s="9">
        <f>(L51-MIN($L$2:$L$126))/(MAX($L$2:$L$126)-MIN($L$2:$L$126))</f>
        <v>2.7200656096227446E-2</v>
      </c>
      <c r="AV51" s="8">
        <f>(AI51*(Tablero!$B$5/100)+AJ51*(Tablero!$B$6/100))*(Tablero!$B$4/100)</f>
        <v>6.8242759064819358E-2</v>
      </c>
      <c r="AW51" s="8">
        <f>(AK51*(Tablero!$B$8/100))*(Tablero!$B$7/100)</f>
        <v>8.3536288358499758E-2</v>
      </c>
      <c r="AX51" s="8">
        <f>(AL51*(Tablero!$B$10/100)+AM51*(Tablero!$B$11/100)+AN51*(Tablero!$B$12/100)+AO51*(Tablero!$B$13/100)+AP51*(Tablero!$B$14/100))*(Tablero!$B$9/100)</f>
        <v>0.12101343735801889</v>
      </c>
      <c r="AY51" s="8">
        <f>(AQ51*(Tablero!$B$16/100)+AR51*(Tablero!$B$17/100)+AS51*(Tablero!$B$18/100))*(Tablero!$B$15/100)</f>
        <v>0.20326830621301775</v>
      </c>
      <c r="AZ51" s="8">
        <f>(AT51*(Tablero!$B$20/100)+AU51*(Tablero!$B$21/100))*(Tablero!$B$19/100)</f>
        <v>1.2801228523617807E-2</v>
      </c>
    </row>
    <row r="52" spans="2:52" hidden="1" x14ac:dyDescent="0.4">
      <c r="B52" t="s">
        <v>141</v>
      </c>
      <c r="C52" t="s">
        <v>142</v>
      </c>
      <c r="D52" s="3">
        <v>15269</v>
      </c>
      <c r="E52" s="3">
        <v>95</v>
      </c>
      <c r="F52">
        <v>26</v>
      </c>
      <c r="G52">
        <v>17.3</v>
      </c>
      <c r="H52">
        <v>28.4</v>
      </c>
      <c r="I52">
        <v>72.599999999999994</v>
      </c>
      <c r="J52">
        <v>17</v>
      </c>
      <c r="K52">
        <v>0.18</v>
      </c>
      <c r="L52">
        <v>44</v>
      </c>
      <c r="M52">
        <v>2</v>
      </c>
      <c r="N52">
        <v>69.319885559999975</v>
      </c>
      <c r="O52" s="3">
        <v>3.65</v>
      </c>
      <c r="P52">
        <v>19</v>
      </c>
      <c r="Q52">
        <v>73.21052631578948</v>
      </c>
      <c r="R52">
        <v>45.26</v>
      </c>
      <c r="S52">
        <v>47.37</v>
      </c>
      <c r="T52">
        <v>50.53</v>
      </c>
      <c r="U52">
        <v>58.95</v>
      </c>
      <c r="V52" s="3">
        <v>190</v>
      </c>
      <c r="W52">
        <v>7</v>
      </c>
      <c r="X52">
        <v>7</v>
      </c>
      <c r="Y52">
        <v>0</v>
      </c>
      <c r="Z52">
        <v>0</v>
      </c>
      <c r="AA52" s="3">
        <v>45.8</v>
      </c>
      <c r="AB52">
        <v>19</v>
      </c>
      <c r="AC52">
        <v>15411.6</v>
      </c>
      <c r="AD52">
        <v>1.32</v>
      </c>
      <c r="AE52">
        <v>0</v>
      </c>
      <c r="AF52">
        <v>2.69</v>
      </c>
      <c r="AG52" s="10">
        <f>AV52+AW52+AX52+AY52+AZ52</f>
        <v>0.44720732620785869</v>
      </c>
      <c r="AH52" t="s">
        <v>41</v>
      </c>
      <c r="AI52" s="9">
        <f>(G52-MIN($G$2:$G$126))/(MAX($G$2:$G$126)-MIN($G$2:$G$126))</f>
        <v>0.25352112676056338</v>
      </c>
      <c r="AJ52" s="9">
        <f>(N52-MIN($N$2:$N$126))/(MAX($N$2:$N$126)-MIN($N$2:$N$126))</f>
        <v>1.4620440095291828E-3</v>
      </c>
      <c r="AK52" s="9">
        <f>(O52-MIN($O$2:$O$126))/(MAX($O$2:$O$126)-MIN($O$2:$O$126))</f>
        <v>0.17778860204578664</v>
      </c>
      <c r="AL52" s="9">
        <f>(S52-MIN($S$2:$S$126))/(MAX($S$2:$S$126)-MIN($S$2:$S$126))</f>
        <v>0.85754189944134063</v>
      </c>
      <c r="AM52" s="9">
        <f>(T52-MIN($T$2:$T$126))/(MAX($T$2:$T$126)-MIN($T$2:$T$126))</f>
        <v>0.45081376926400696</v>
      </c>
      <c r="AN52" s="9">
        <f>1-(AC52-MIN($AC$2:$AC$126))/(MAX($AC$2:$AC$126)-MIN($AC$2:$AC$126))</f>
        <v>1</v>
      </c>
      <c r="AO52" s="9">
        <f>(AD52-MIN($AD$2:$AD$126))/(MAX($AD$2:$AD$126)-MIN($AD$2:$AD$126))</f>
        <v>0.79041916167664683</v>
      </c>
      <c r="AP52" s="9">
        <f>1-(AE52-MIN($AE$2:$AE$126))/(MAX($AE$2:$AE$126)-MIN($AE$2:$AE$126))</f>
        <v>1</v>
      </c>
      <c r="AQ52" s="9">
        <f>(V52-MIN($V$2:$V$126))/(MAX($V$2:$V$126)-MIN($V$2:$V$126))</f>
        <v>0.52777777777777779</v>
      </c>
      <c r="AR52" s="9">
        <f>1-(Y52-MIN($Y$2:$Y$126))/(MAX($Y$2:$Y$126)-MIN($Y$2:$Y$126))</f>
        <v>1</v>
      </c>
      <c r="AS52" s="9">
        <f>1-(AA52-MIN($AA$2:$AA$126))/(MAX($AA$2:$AA$126)-MIN($AA$2:$AA$126))</f>
        <v>0.67286559594251916</v>
      </c>
      <c r="AT52" s="9">
        <f>(K52-MIN($K$2:$K$126))/(MAX($K$2:$K$126)-MIN($K$2:$K$126))</f>
        <v>0.39393939393939392</v>
      </c>
      <c r="AU52" s="9">
        <f>(L52-MIN($L$2:$L$126))/(MAX($L$2:$L$126)-MIN($L$2:$L$126))</f>
        <v>5.1940951339529799E-3</v>
      </c>
      <c r="AV52" s="8">
        <f>(AI52*(Tablero!$B$5/100)+AJ52*(Tablero!$B$6/100))*(Tablero!$B$4/100)</f>
        <v>3.8174373415037426E-2</v>
      </c>
      <c r="AW52" s="8">
        <f>(AK52*(Tablero!$B$8/100))*(Tablero!$B$7/100)</f>
        <v>4.4447150511446661E-2</v>
      </c>
      <c r="AX52" s="8">
        <f>(AL52*(Tablero!$B$10/100)+AM52*(Tablero!$B$11/100)+AN52*(Tablero!$B$12/100)+AO52*(Tablero!$B$13/100)+AP52*(Tablero!$B$14/100))*(Tablero!$B$9/100)</f>
        <v>0.16000804737820018</v>
      </c>
      <c r="AY52" s="8">
        <f>(AQ52*(Tablero!$B$16/100)+AR52*(Tablero!$B$17/100)+AS52*(Tablero!$B$18/100))*(Tablero!$B$15/100)</f>
        <v>0.19459941767634076</v>
      </c>
      <c r="AZ52" s="8">
        <f>(AT52*(Tablero!$B$20/100)+AU52*(Tablero!$B$21/100))*(Tablero!$B$19/100)</f>
        <v>9.9783372268336737E-3</v>
      </c>
    </row>
    <row r="53" spans="2:52" hidden="1" x14ac:dyDescent="0.4">
      <c r="B53" t="s">
        <v>143</v>
      </c>
      <c r="C53" t="s">
        <v>144</v>
      </c>
      <c r="D53" s="3">
        <v>308300</v>
      </c>
      <c r="E53" s="3">
        <v>2090</v>
      </c>
      <c r="F53">
        <v>435</v>
      </c>
      <c r="G53">
        <v>19.2</v>
      </c>
      <c r="H53">
        <v>24</v>
      </c>
      <c r="I53">
        <v>79.2</v>
      </c>
      <c r="J53">
        <v>412</v>
      </c>
      <c r="K53">
        <v>0.2</v>
      </c>
      <c r="L53">
        <v>1056</v>
      </c>
      <c r="M53">
        <v>7</v>
      </c>
      <c r="N53">
        <v>3703.1292940099988</v>
      </c>
      <c r="O53" s="3">
        <v>9.77</v>
      </c>
      <c r="P53">
        <v>379</v>
      </c>
      <c r="Q53">
        <v>68.650239234449757</v>
      </c>
      <c r="R53">
        <v>45.17</v>
      </c>
      <c r="S53">
        <v>26.27</v>
      </c>
      <c r="T53">
        <v>48.8</v>
      </c>
      <c r="U53">
        <v>42.68</v>
      </c>
      <c r="V53" s="3">
        <v>330</v>
      </c>
      <c r="W53">
        <v>59</v>
      </c>
      <c r="X53">
        <v>45</v>
      </c>
      <c r="Y53">
        <v>13</v>
      </c>
      <c r="Z53">
        <v>1</v>
      </c>
      <c r="AA53" s="3">
        <v>19.100000000000001</v>
      </c>
      <c r="AB53">
        <v>332</v>
      </c>
      <c r="AC53">
        <v>63368.41</v>
      </c>
      <c r="AD53">
        <v>0.19</v>
      </c>
      <c r="AE53">
        <v>67.17</v>
      </c>
      <c r="AF53">
        <v>2.17</v>
      </c>
      <c r="AG53" s="10">
        <f>AV53+AW53+AX53+AY53+AZ53</f>
        <v>0.48030998403989966</v>
      </c>
      <c r="AH53" t="s">
        <v>41</v>
      </c>
      <c r="AI53" s="9">
        <f>(G53-MIN($G$2:$G$126))/(MAX($G$2:$G$126)-MIN($G$2:$G$126))</f>
        <v>0.2981220657276995</v>
      </c>
      <c r="AJ53" s="9">
        <f>(N53-MIN($N$2:$N$126))/(MAX($N$2:$N$126)-MIN($N$2:$N$126))</f>
        <v>7.8103677712121039E-2</v>
      </c>
      <c r="AK53" s="9">
        <f>(O53-MIN($O$2:$O$126))/(MAX($O$2:$O$126)-MIN($O$2:$O$126))</f>
        <v>0.47588894301022888</v>
      </c>
      <c r="AL53" s="9">
        <f>(S53-MIN($S$2:$S$126))/(MAX($S$2:$S$126)-MIN($S$2:$S$126))</f>
        <v>0.36638733705772814</v>
      </c>
      <c r="AM53" s="9">
        <f>(T53-MIN($T$2:$T$126))/(MAX($T$2:$T$126)-MIN($T$2:$T$126))</f>
        <v>0.4258965864899899</v>
      </c>
      <c r="AN53" s="9">
        <f>1-(AC53-MIN($AC$2:$AC$126))/(MAX($AC$2:$AC$126)-MIN($AC$2:$AC$126))</f>
        <v>0.51163796483274315</v>
      </c>
      <c r="AO53" s="9">
        <f>(AD53-MIN($AD$2:$AD$126))/(MAX($AD$2:$AD$126)-MIN($AD$2:$AD$126))</f>
        <v>0.11377245508982037</v>
      </c>
      <c r="AP53" s="9">
        <f>1-(AE53-MIN($AE$2:$AE$126))/(MAX($AE$2:$AE$126)-MIN($AE$2:$AE$126))</f>
        <v>0.32830000000000004</v>
      </c>
      <c r="AQ53" s="9">
        <f>(V53-MIN($V$2:$V$126))/(MAX($V$2:$V$126)-MIN($V$2:$V$126))</f>
        <v>0.91666666666666663</v>
      </c>
      <c r="AR53" s="9">
        <f>1-(Y53-MIN($Y$2:$Y$126))/(MAX($Y$2:$Y$126)-MIN($Y$2:$Y$126))</f>
        <v>0.86458333333333337</v>
      </c>
      <c r="AS53" s="9">
        <f>1-(AA53-MIN($AA$2:$AA$126))/(MAX($AA$2:$AA$126)-MIN($AA$2:$AA$126))</f>
        <v>0.89856297548605246</v>
      </c>
      <c r="AT53" s="9">
        <f>(K53-MIN($K$2:$K$126))/(MAX($K$2:$K$126)-MIN($K$2:$K$126))</f>
        <v>0.45454545454545459</v>
      </c>
      <c r="AU53" s="9">
        <f>(L53-MIN($L$2:$L$126))/(MAX($L$2:$L$126)-MIN($L$2:$L$126))</f>
        <v>0.1435210497539639</v>
      </c>
      <c r="AV53" s="8">
        <f>(AI53*(Tablero!$B$5/100)+AJ53*(Tablero!$B$6/100))*(Tablero!$B$4/100)</f>
        <v>5.2528677630367032E-2</v>
      </c>
      <c r="AW53" s="8">
        <f>(AK53*(Tablero!$B$8/100))*(Tablero!$B$7/100)</f>
        <v>0.11897223575255722</v>
      </c>
      <c r="AX53" s="8">
        <f>(AL53*(Tablero!$B$10/100)+AM53*(Tablero!$B$11/100)+AN53*(Tablero!$B$12/100)+AO53*(Tablero!$B$13/100)+AP53*(Tablero!$B$14/100))*(Tablero!$B$9/100)</f>
        <v>7.1653750329005228E-2</v>
      </c>
      <c r="AY53" s="8">
        <f>(AQ53*(Tablero!$B$16/100)+AR53*(Tablero!$B$17/100)+AS53*(Tablero!$B$18/100))*(Tablero!$B$15/100)</f>
        <v>0.22220365772048467</v>
      </c>
      <c r="AZ53" s="8">
        <f>(AT53*(Tablero!$B$20/100)+AU53*(Tablero!$B$21/100))*(Tablero!$B$19/100)</f>
        <v>1.4951662607485462E-2</v>
      </c>
    </row>
    <row r="54" spans="2:52" hidden="1" x14ac:dyDescent="0.4">
      <c r="B54" t="s">
        <v>145</v>
      </c>
      <c r="C54" t="s">
        <v>146</v>
      </c>
      <c r="D54" s="3">
        <v>14629</v>
      </c>
      <c r="E54" s="3">
        <v>126</v>
      </c>
      <c r="F54">
        <v>24</v>
      </c>
      <c r="G54">
        <v>24.2</v>
      </c>
      <c r="H54">
        <v>27.6</v>
      </c>
      <c r="I54">
        <v>81</v>
      </c>
      <c r="J54">
        <v>31</v>
      </c>
      <c r="K54">
        <v>0.25</v>
      </c>
      <c r="L54">
        <v>48</v>
      </c>
      <c r="M54">
        <v>1</v>
      </c>
      <c r="N54">
        <v>87.983728459999966</v>
      </c>
      <c r="O54" s="3">
        <v>6.28</v>
      </c>
      <c r="P54">
        <v>14</v>
      </c>
      <c r="Q54">
        <v>70.801587301587304</v>
      </c>
      <c r="R54">
        <v>43.65</v>
      </c>
      <c r="S54">
        <v>40.479999999999997</v>
      </c>
      <c r="T54">
        <v>44.44</v>
      </c>
      <c r="U54">
        <v>55.56</v>
      </c>
      <c r="V54" s="3">
        <v>205</v>
      </c>
      <c r="W54">
        <v>4</v>
      </c>
      <c r="X54">
        <v>2</v>
      </c>
      <c r="Y54">
        <v>2</v>
      </c>
      <c r="Z54">
        <v>0</v>
      </c>
      <c r="AA54" s="3">
        <v>27.3</v>
      </c>
      <c r="AB54">
        <v>46</v>
      </c>
      <c r="AC54">
        <v>29649.68</v>
      </c>
      <c r="AD54">
        <v>0.91</v>
      </c>
      <c r="AE54">
        <v>13.04</v>
      </c>
      <c r="AF54">
        <v>3.45</v>
      </c>
      <c r="AG54" s="10">
        <f>AV54+AW54+AX54+AY54+AZ54</f>
        <v>0.4876450165697751</v>
      </c>
      <c r="AH54" t="s">
        <v>41</v>
      </c>
      <c r="AI54" s="9">
        <f>(G54-MIN($G$2:$G$126))/(MAX($G$2:$G$126)-MIN($G$2:$G$126))</f>
        <v>0.41549295774647882</v>
      </c>
      <c r="AJ54" s="9">
        <f>(N54-MIN($N$2:$N$126))/(MAX($N$2:$N$126)-MIN($N$2:$N$126))</f>
        <v>1.8556880481235647E-3</v>
      </c>
      <c r="AK54" s="9">
        <f>(O54-MIN($O$2:$O$126))/(MAX($O$2:$O$126)-MIN($O$2:$O$126))</f>
        <v>0.30589381393083293</v>
      </c>
      <c r="AL54" s="9">
        <f>(S54-MIN($S$2:$S$126))/(MAX($S$2:$S$126)-MIN($S$2:$S$126))</f>
        <v>0.69716014897579137</v>
      </c>
      <c r="AM54" s="9">
        <f>(T54-MIN($T$2:$T$126))/(MAX($T$2:$T$126)-MIN($T$2:$T$126))</f>
        <v>0.36309952470113782</v>
      </c>
      <c r="AN54" s="9">
        <f>1-(AC54-MIN($AC$2:$AC$126))/(MAX($AC$2:$AC$126)-MIN($AC$2:$AC$126))</f>
        <v>0.85500833508996499</v>
      </c>
      <c r="AO54" s="9">
        <f>(AD54-MIN($AD$2:$AD$126))/(MAX($AD$2:$AD$126)-MIN($AD$2:$AD$126))</f>
        <v>0.54491017964071864</v>
      </c>
      <c r="AP54" s="9">
        <f>1-(AE54-MIN($AE$2:$AE$126))/(MAX($AE$2:$AE$126)-MIN($AE$2:$AE$126))</f>
        <v>0.86960000000000004</v>
      </c>
      <c r="AQ54" s="9">
        <f>(V54-MIN($V$2:$V$126))/(MAX($V$2:$V$126)-MIN($V$2:$V$126))</f>
        <v>0.56944444444444442</v>
      </c>
      <c r="AR54" s="9">
        <f>1-(Y54-MIN($Y$2:$Y$126))/(MAX($Y$2:$Y$126)-MIN($Y$2:$Y$126))</f>
        <v>0.97916666666666663</v>
      </c>
      <c r="AS54" s="9">
        <f>1-(AA54-MIN($AA$2:$AA$126))/(MAX($AA$2:$AA$126)-MIN($AA$2:$AA$126))</f>
        <v>0.82924767540152156</v>
      </c>
      <c r="AT54" s="9">
        <f>(K54-MIN($K$2:$K$126))/(MAX($K$2:$K$126)-MIN($K$2:$K$126))</f>
        <v>0.60606060606060608</v>
      </c>
      <c r="AU54" s="9">
        <f>(L54-MIN($L$2:$L$126))/(MAX($L$2:$L$126)-MIN($L$2:$L$126))</f>
        <v>5.7408419901585567E-3</v>
      </c>
      <c r="AV54" s="8">
        <f>(AI54*(Tablero!$B$5/100)+AJ54*(Tablero!$B$6/100))*(Tablero!$B$4/100)</f>
        <v>6.250951246678417E-2</v>
      </c>
      <c r="AW54" s="8">
        <f>(AK54*(Tablero!$B$8/100))*(Tablero!$B$7/100)</f>
        <v>7.6473453482708231E-2</v>
      </c>
      <c r="AX54" s="8">
        <f>(AL54*(Tablero!$B$10/100)+AM54*(Tablero!$B$11/100)+AN54*(Tablero!$B$12/100)+AO54*(Tablero!$B$13/100)+AP54*(Tablero!$B$14/100))*(Tablero!$B$9/100)</f>
        <v>0.13329554475619779</v>
      </c>
      <c r="AY54" s="8">
        <f>(AQ54*(Tablero!$B$16/100)+AR54*(Tablero!$B$17/100)+AS54*(Tablero!$B$18/100))*(Tablero!$B$15/100)</f>
        <v>0.2000714696628158</v>
      </c>
      <c r="AZ54" s="8">
        <f>(AT54*(Tablero!$B$20/100)+AU54*(Tablero!$B$21/100))*(Tablero!$B$19/100)</f>
        <v>1.5295036201269117E-2</v>
      </c>
    </row>
    <row r="55" spans="2:52" hidden="1" x14ac:dyDescent="0.4">
      <c r="B55" t="s">
        <v>147</v>
      </c>
      <c r="C55" t="s">
        <v>148</v>
      </c>
      <c r="D55" s="3">
        <v>4668</v>
      </c>
      <c r="E55" s="3">
        <v>34</v>
      </c>
      <c r="F55">
        <v>9</v>
      </c>
      <c r="G55">
        <v>20.7</v>
      </c>
      <c r="H55">
        <v>32.9</v>
      </c>
      <c r="I55">
        <v>73.5</v>
      </c>
      <c r="J55">
        <v>7</v>
      </c>
      <c r="K55">
        <v>0.21</v>
      </c>
      <c r="L55">
        <v>18</v>
      </c>
      <c r="M55">
        <v>0</v>
      </c>
      <c r="N55">
        <v>23.29901215999999</v>
      </c>
      <c r="O55" s="3">
        <v>5.82</v>
      </c>
      <c r="P55">
        <v>4</v>
      </c>
      <c r="Q55">
        <v>76.5</v>
      </c>
      <c r="R55">
        <v>52.94</v>
      </c>
      <c r="S55">
        <v>35.29</v>
      </c>
      <c r="T55">
        <v>55.88</v>
      </c>
      <c r="U55">
        <v>58.82</v>
      </c>
      <c r="V55" s="3">
        <v>200</v>
      </c>
      <c r="W55">
        <v>2</v>
      </c>
      <c r="X55">
        <v>2</v>
      </c>
      <c r="Y55">
        <v>0</v>
      </c>
      <c r="Z55">
        <v>0</v>
      </c>
      <c r="AA55" s="3">
        <v>42.8</v>
      </c>
      <c r="AC55">
        <v>52157.1</v>
      </c>
      <c r="AD55">
        <v>0.12</v>
      </c>
      <c r="AE55">
        <v>45.83</v>
      </c>
      <c r="AF55">
        <v>3.02</v>
      </c>
      <c r="AG55" s="10">
        <f>AV55+AW55+AX55+AY55+AZ55</f>
        <v>0.43158288386711569</v>
      </c>
      <c r="AH55" t="s">
        <v>48</v>
      </c>
      <c r="AI55" s="9">
        <f>(G55-MIN($G$2:$G$126))/(MAX($G$2:$G$126)-MIN($G$2:$G$126))</f>
        <v>0.33333333333333331</v>
      </c>
      <c r="AJ55" s="9">
        <f>(N55-MIN($N$2:$N$126))/(MAX($N$2:$N$126)-MIN($N$2:$N$126))</f>
        <v>4.9140561732450129E-4</v>
      </c>
      <c r="AK55" s="9">
        <f>(O55-MIN($O$2:$O$126))/(MAX($O$2:$O$126)-MIN($O$2:$O$126))</f>
        <v>0.28348757915245981</v>
      </c>
      <c r="AL55" s="9">
        <f>(S55-MIN($S$2:$S$126))/(MAX($S$2:$S$126)-MIN($S$2:$S$126))</f>
        <v>0.57635009310986962</v>
      </c>
      <c r="AM55" s="9">
        <f>(T55-MIN($T$2:$T$126))/(MAX($T$2:$T$126)-MIN($T$2:$T$126))</f>
        <v>0.52786979691775904</v>
      </c>
      <c r="AN55" s="9">
        <f>1-(AC55-MIN($AC$2:$AC$126))/(MAX($AC$2:$AC$126)-MIN($AC$2:$AC$126))</f>
        <v>0.62580690493720414</v>
      </c>
      <c r="AO55" s="9">
        <f>(AD55-MIN($AD$2:$AD$126))/(MAX($AD$2:$AD$126)-MIN($AD$2:$AD$126))</f>
        <v>7.1856287425149698E-2</v>
      </c>
      <c r="AP55" s="9">
        <f>1-(AE55-MIN($AE$2:$AE$126))/(MAX($AE$2:$AE$126)-MIN($AE$2:$AE$126))</f>
        <v>0.54170000000000007</v>
      </c>
      <c r="AQ55" s="9">
        <f>(V55-MIN($V$2:$V$126))/(MAX($V$2:$V$126)-MIN($V$2:$V$126))</f>
        <v>0.55555555555555558</v>
      </c>
      <c r="AR55" s="9">
        <f>1-(Y55-MIN($Y$2:$Y$126))/(MAX($Y$2:$Y$126)-MIN($Y$2:$Y$126))</f>
        <v>1</v>
      </c>
      <c r="AS55" s="9">
        <f>1-(AA55-MIN($AA$2:$AA$126))/(MAX($AA$2:$AA$126)-MIN($AA$2:$AA$126))</f>
        <v>0.69822485207100593</v>
      </c>
      <c r="AT55" s="9">
        <f>(K55-MIN($K$2:$K$126))/(MAX($K$2:$K$126)-MIN($K$2:$K$126))</f>
        <v>0.48484848484848475</v>
      </c>
      <c r="AU55" s="9">
        <f>(L55-MIN($L$2:$L$126))/(MAX($L$2:$L$126)-MIN($L$2:$L$126))</f>
        <v>1.6402405686167304E-3</v>
      </c>
      <c r="AV55" s="8">
        <f>(AI55*(Tablero!$B$5/100)+AJ55*(Tablero!$B$6/100))*(Tablero!$B$4/100)</f>
        <v>5.0049140561732444E-2</v>
      </c>
      <c r="AW55" s="8">
        <f>(AK55*(Tablero!$B$8/100))*(Tablero!$B$7/100)</f>
        <v>7.0871894788114953E-2</v>
      </c>
      <c r="AX55" s="8">
        <f>(AL55*(Tablero!$B$10/100)+AM55*(Tablero!$B$11/100)+AN55*(Tablero!$B$12/100)+AO55*(Tablero!$B$13/100)+AP55*(Tablero!$B$14/100))*(Tablero!$B$9/100)</f>
        <v>0.10048845352451004</v>
      </c>
      <c r="AY55" s="8">
        <f>(AQ55*(Tablero!$B$16/100)+AR55*(Tablero!$B$17/100)+AS55*(Tablero!$B$18/100))*(Tablero!$B$15/100)</f>
        <v>0.19801117685733069</v>
      </c>
      <c r="AZ55" s="8">
        <f>(AT55*(Tablero!$B$20/100)+AU55*(Tablero!$B$21/100))*(Tablero!$B$19/100)</f>
        <v>1.2162218135427538E-2</v>
      </c>
    </row>
    <row r="56" spans="2:52" x14ac:dyDescent="0.4">
      <c r="B56" t="s">
        <v>157</v>
      </c>
      <c r="C56" t="s">
        <v>158</v>
      </c>
      <c r="D56" s="3">
        <v>35279</v>
      </c>
      <c r="E56" s="3">
        <v>251</v>
      </c>
      <c r="F56">
        <v>117</v>
      </c>
      <c r="G56">
        <v>20.100000000000001</v>
      </c>
      <c r="H56">
        <v>56.1</v>
      </c>
      <c r="I56">
        <v>53.4</v>
      </c>
      <c r="J56">
        <v>51</v>
      </c>
      <c r="K56">
        <v>0.2</v>
      </c>
      <c r="L56">
        <v>151</v>
      </c>
      <c r="M56">
        <v>3</v>
      </c>
      <c r="N56">
        <v>745.45666451999989</v>
      </c>
      <c r="O56" s="3">
        <v>9.94</v>
      </c>
      <c r="P56">
        <v>75</v>
      </c>
      <c r="Q56">
        <v>71.075697211155372</v>
      </c>
      <c r="R56">
        <v>56.97</v>
      </c>
      <c r="S56">
        <v>31.08</v>
      </c>
      <c r="T56">
        <v>60.56</v>
      </c>
      <c r="U56">
        <v>63.35</v>
      </c>
      <c r="V56" s="3">
        <v>285</v>
      </c>
      <c r="W56">
        <v>13</v>
      </c>
      <c r="X56">
        <v>12</v>
      </c>
      <c r="Y56">
        <v>1</v>
      </c>
      <c r="Z56">
        <v>0</v>
      </c>
      <c r="AA56" s="3">
        <v>36.799999999999997</v>
      </c>
      <c r="AB56">
        <v>47</v>
      </c>
      <c r="AC56">
        <v>46409.48</v>
      </c>
      <c r="AD56">
        <v>0.06</v>
      </c>
      <c r="AE56">
        <v>44.68</v>
      </c>
      <c r="AF56">
        <v>4.67</v>
      </c>
      <c r="AG56" s="10">
        <f>AV56+AW56+AX56+AY56+AZ56</f>
        <v>0.50789414860110371</v>
      </c>
      <c r="AH56" t="s">
        <v>41</v>
      </c>
      <c r="AI56" s="9">
        <f>(G56-MIN($G$2:$G$126))/(MAX($G$2:$G$126)-MIN($G$2:$G$126))</f>
        <v>0.31924882629107981</v>
      </c>
      <c r="AJ56" s="9">
        <f>(N56-MIN($N$2:$N$126))/(MAX($N$2:$N$126)-MIN($N$2:$N$126))</f>
        <v>1.5722623341345745E-2</v>
      </c>
      <c r="AK56" s="9">
        <f>(O56-MIN($O$2:$O$126))/(MAX($O$2:$O$126)-MIN($O$2:$O$126))</f>
        <v>0.48416950803701897</v>
      </c>
      <c r="AL56" s="9">
        <f>(S56-MIN($S$2:$S$126))/(MAX($S$2:$S$126)-MIN($S$2:$S$126))</f>
        <v>0.47835195530726249</v>
      </c>
      <c r="AM56" s="9">
        <f>(T56-MIN($T$2:$T$126))/(MAX($T$2:$T$126)-MIN($T$2:$T$126))</f>
        <v>0.59527581737001301</v>
      </c>
      <c r="AN56" s="9">
        <f>1-(AC56-MIN($AC$2:$AC$126))/(MAX($AC$2:$AC$126)-MIN($AC$2:$AC$126))</f>
        <v>0.68433705739246609</v>
      </c>
      <c r="AO56" s="9">
        <f>(AD56-MIN($AD$2:$AD$126))/(MAX($AD$2:$AD$126)-MIN($AD$2:$AD$126))</f>
        <v>3.5928143712574849E-2</v>
      </c>
      <c r="AP56" s="9">
        <f>1-(AE56-MIN($AE$2:$AE$126))/(MAX($AE$2:$AE$126)-MIN($AE$2:$AE$126))</f>
        <v>0.55320000000000003</v>
      </c>
      <c r="AQ56" s="9">
        <f>(V56-MIN($V$2:$V$126))/(MAX($V$2:$V$126)-MIN($V$2:$V$126))</f>
        <v>0.79166666666666663</v>
      </c>
      <c r="AR56" s="9">
        <f>1-(Y56-MIN($Y$2:$Y$126))/(MAX($Y$2:$Y$126)-MIN($Y$2:$Y$126))</f>
        <v>0.98958333333333337</v>
      </c>
      <c r="AS56" s="9">
        <f>1-(AA56-MIN($AA$2:$AA$126))/(MAX($AA$2:$AA$126)-MIN($AA$2:$AA$126))</f>
        <v>0.7489433643279797</v>
      </c>
      <c r="AT56" s="9">
        <f>(K56-MIN($K$2:$K$126))/(MAX($K$2:$K$126)-MIN($K$2:$K$126))</f>
        <v>0.45454545454545459</v>
      </c>
      <c r="AU56" s="9">
        <f>(L56-MIN($L$2:$L$126))/(MAX($L$2:$L$126)-MIN($L$2:$L$126))</f>
        <v>1.9819573537452159E-2</v>
      </c>
      <c r="AV56" s="8">
        <f>(AI56*(Tablero!$B$5/100)+AJ56*(Tablero!$B$6/100))*(Tablero!$B$4/100)</f>
        <v>4.9459586277796543E-2</v>
      </c>
      <c r="AW56" s="8">
        <f>(AK56*(Tablero!$B$8/100))*(Tablero!$B$7/100)</f>
        <v>0.12104237700925474</v>
      </c>
      <c r="AX56" s="8">
        <f>(AL56*(Tablero!$B$10/100)+AM56*(Tablero!$B$11/100)+AN56*(Tablero!$B$12/100)+AO56*(Tablero!$B$13/100)+AP56*(Tablero!$B$14/100))*(Tablero!$B$9/100)</f>
        <v>0.10394489217044685</v>
      </c>
      <c r="AY56" s="8">
        <f>(AQ56*(Tablero!$B$16/100)+AR56*(Tablero!$B$17/100)+AS56*(Tablero!$B$18/100))*(Tablero!$B$15/100)</f>
        <v>0.22158816744153284</v>
      </c>
      <c r="AZ56" s="8">
        <f>(AT56*(Tablero!$B$20/100)+AU56*(Tablero!$B$21/100))*(Tablero!$B$19/100)</f>
        <v>1.1859125702072669E-2</v>
      </c>
    </row>
    <row r="57" spans="2:52" hidden="1" x14ac:dyDescent="0.4">
      <c r="B57" t="s">
        <v>151</v>
      </c>
      <c r="C57" t="s">
        <v>152</v>
      </c>
      <c r="D57" s="3">
        <v>69328</v>
      </c>
      <c r="E57" s="3">
        <v>673</v>
      </c>
      <c r="F57">
        <v>210</v>
      </c>
      <c r="G57">
        <v>27.6</v>
      </c>
      <c r="H57">
        <v>51.7</v>
      </c>
      <c r="I57">
        <v>68.8</v>
      </c>
      <c r="J57">
        <v>170</v>
      </c>
      <c r="K57">
        <v>0.25</v>
      </c>
      <c r="L57">
        <v>310</v>
      </c>
      <c r="M57">
        <v>3</v>
      </c>
      <c r="N57">
        <v>2691.8404317999989</v>
      </c>
      <c r="O57" s="3">
        <v>8.2100000000000009</v>
      </c>
      <c r="P57">
        <v>328</v>
      </c>
      <c r="Q57">
        <v>72.160475482912332</v>
      </c>
      <c r="R57">
        <v>47.99</v>
      </c>
      <c r="S57">
        <v>37.74</v>
      </c>
      <c r="T57">
        <v>31.8</v>
      </c>
      <c r="U57">
        <v>31.2</v>
      </c>
      <c r="V57" s="3">
        <v>220</v>
      </c>
      <c r="W57">
        <v>22</v>
      </c>
      <c r="X57">
        <v>17</v>
      </c>
      <c r="Y57">
        <v>5</v>
      </c>
      <c r="Z57">
        <v>0</v>
      </c>
      <c r="AA57" s="3">
        <v>31.7</v>
      </c>
      <c r="AB57">
        <v>121</v>
      </c>
      <c r="AC57">
        <v>57659.05</v>
      </c>
      <c r="AD57">
        <v>0.16</v>
      </c>
      <c r="AE57">
        <v>62.81</v>
      </c>
      <c r="AF57">
        <v>2.04</v>
      </c>
      <c r="AG57" s="10">
        <f>AV57+AW57+AX57+AY57+AZ57</f>
        <v>0.46213530780054995</v>
      </c>
      <c r="AH57" t="s">
        <v>41</v>
      </c>
      <c r="AI57" s="9">
        <f>(G57-MIN($G$2:$G$126))/(MAX($G$2:$G$126)-MIN($G$2:$G$126))</f>
        <v>0.49530516431924887</v>
      </c>
      <c r="AJ57" s="9">
        <f>(N57-MIN($N$2:$N$126))/(MAX($N$2:$N$126)-MIN($N$2:$N$126))</f>
        <v>5.6774317299112961E-2</v>
      </c>
      <c r="AK57" s="9">
        <f>(O57-MIN($O$2:$O$126))/(MAX($O$2:$O$126)-MIN($O$2:$O$126))</f>
        <v>0.39990258158792014</v>
      </c>
      <c r="AL57" s="9">
        <f>(S57-MIN($S$2:$S$126))/(MAX($S$2:$S$126)-MIN($S$2:$S$126))</f>
        <v>0.63337988826815639</v>
      </c>
      <c r="AM57" s="9">
        <f>(T57-MIN($T$2:$T$126))/(MAX($T$2:$T$126)-MIN($T$2:$T$126))</f>
        <v>0.18104565749675935</v>
      </c>
      <c r="AN57" s="9">
        <f>1-(AC57-MIN($AC$2:$AC$126))/(MAX($AC$2:$AC$126)-MIN($AC$2:$AC$126))</f>
        <v>0.56977850147607967</v>
      </c>
      <c r="AO57" s="9">
        <f>(AD57-MIN($AD$2:$AD$126))/(MAX($AD$2:$AD$126)-MIN($AD$2:$AD$126))</f>
        <v>9.580838323353294E-2</v>
      </c>
      <c r="AP57" s="9">
        <f>1-(AE57-MIN($AE$2:$AE$126))/(MAX($AE$2:$AE$126)-MIN($AE$2:$AE$126))</f>
        <v>0.37190000000000001</v>
      </c>
      <c r="AQ57" s="9">
        <f>(V57-MIN($V$2:$V$126))/(MAX($V$2:$V$126)-MIN($V$2:$V$126))</f>
        <v>0.61111111111111116</v>
      </c>
      <c r="AR57" s="9">
        <f>1-(Y57-MIN($Y$2:$Y$126))/(MAX($Y$2:$Y$126)-MIN($Y$2:$Y$126))</f>
        <v>0.94791666666666663</v>
      </c>
      <c r="AS57" s="9">
        <f>1-(AA57-MIN($AA$2:$AA$126))/(MAX($AA$2:$AA$126)-MIN($AA$2:$AA$126))</f>
        <v>0.79205409974640739</v>
      </c>
      <c r="AT57" s="9">
        <f>(K57-MIN($K$2:$K$126))/(MAX($K$2:$K$126)-MIN($K$2:$K$126))</f>
        <v>0.60606060606060608</v>
      </c>
      <c r="AU57" s="9">
        <f>(L57-MIN($L$2:$L$126))/(MAX($L$2:$L$126)-MIN($L$2:$L$126))</f>
        <v>4.1552761071623839E-2</v>
      </c>
      <c r="AV57" s="8">
        <f>(AI57*(Tablero!$B$5/100)+AJ57*(Tablero!$B$6/100))*(Tablero!$B$4/100)</f>
        <v>7.9973206377798617E-2</v>
      </c>
      <c r="AW57" s="8">
        <f>(AK57*(Tablero!$B$8/100))*(Tablero!$B$7/100)</f>
        <v>9.9975645396980034E-2</v>
      </c>
      <c r="AX57" s="8">
        <f>(AL57*(Tablero!$B$10/100)+AM57*(Tablero!$B$11/100)+AN57*(Tablero!$B$12/100)+AO57*(Tablero!$B$13/100)+AP57*(Tablero!$B$14/100))*(Tablero!$B$9/100)</f>
        <v>6.6594074909360951E-2</v>
      </c>
      <c r="AY57" s="8">
        <f>(AQ57*(Tablero!$B$16/100)+AR57*(Tablero!$B$17/100)+AS57*(Tablero!$B$18/100))*(Tablero!$B$15/100)</f>
        <v>0.19940204693810462</v>
      </c>
      <c r="AZ57" s="8">
        <f>(AT57*(Tablero!$B$20/100)+AU57*(Tablero!$B$21/100))*(Tablero!$B$19/100)</f>
        <v>1.6190334178305749E-2</v>
      </c>
    </row>
    <row r="58" spans="2:52" x14ac:dyDescent="0.4">
      <c r="B58" t="s">
        <v>171</v>
      </c>
      <c r="C58" t="s">
        <v>172</v>
      </c>
      <c r="D58" s="3">
        <v>23634</v>
      </c>
      <c r="E58" s="3">
        <v>226</v>
      </c>
      <c r="F58">
        <v>71</v>
      </c>
      <c r="G58">
        <v>26.4</v>
      </c>
      <c r="H58">
        <v>49.8</v>
      </c>
      <c r="I58">
        <v>68.599999999999994</v>
      </c>
      <c r="J58">
        <v>47</v>
      </c>
      <c r="K58">
        <v>0.21</v>
      </c>
      <c r="L58">
        <v>103</v>
      </c>
      <c r="M58">
        <v>3</v>
      </c>
      <c r="N58">
        <v>195.80392603999999</v>
      </c>
      <c r="O58" s="3">
        <v>6.12</v>
      </c>
      <c r="P58">
        <v>32</v>
      </c>
      <c r="Q58">
        <v>71.283185840707958</v>
      </c>
      <c r="R58">
        <v>44.69</v>
      </c>
      <c r="S58">
        <v>30.09</v>
      </c>
      <c r="T58">
        <v>47.79</v>
      </c>
      <c r="U58">
        <v>43.36</v>
      </c>
      <c r="V58" s="3">
        <v>290</v>
      </c>
      <c r="W58">
        <v>14</v>
      </c>
      <c r="X58">
        <v>13</v>
      </c>
      <c r="Y58">
        <v>1</v>
      </c>
      <c r="Z58">
        <v>0</v>
      </c>
      <c r="AA58" s="3">
        <v>59.2</v>
      </c>
      <c r="AB58">
        <v>23</v>
      </c>
      <c r="AC58">
        <v>36288.79</v>
      </c>
      <c r="AD58">
        <v>0.13</v>
      </c>
      <c r="AE58">
        <v>30.43</v>
      </c>
      <c r="AF58">
        <v>3.72</v>
      </c>
      <c r="AG58" s="10">
        <f>AV58+AW58+AX58+AY58+AZ58</f>
        <v>0.48245249021772413</v>
      </c>
      <c r="AH58" t="s">
        <v>41</v>
      </c>
      <c r="AI58" s="9">
        <f>(G58-MIN($G$2:$G$126))/(MAX($G$2:$G$126)-MIN($G$2:$G$126))</f>
        <v>0.46713615023474175</v>
      </c>
      <c r="AJ58" s="9">
        <f>(N58-MIN($N$2:$N$126))/(MAX($N$2:$N$126)-MIN($N$2:$N$126))</f>
        <v>4.129752304067094E-3</v>
      </c>
      <c r="AK58" s="9">
        <f>(O58-MIN($O$2:$O$126))/(MAX($O$2:$O$126)-MIN($O$2:$O$126))</f>
        <v>0.29810034096444227</v>
      </c>
      <c r="AL58" s="9">
        <f>(S58-MIN($S$2:$S$126))/(MAX($S$2:$S$126)-MIN($S$2:$S$126))</f>
        <v>0.45530726256983245</v>
      </c>
      <c r="AM58" s="9">
        <f>(T58-MIN($T$2:$T$126))/(MAX($T$2:$T$126)-MIN($T$2:$T$126))</f>
        <v>0.41134956070862744</v>
      </c>
      <c r="AN58" s="9">
        <f>1-(AC58-MIN($AC$2:$AC$126))/(MAX($AC$2:$AC$126)-MIN($AC$2:$AC$126))</f>
        <v>0.7873998083489393</v>
      </c>
      <c r="AO58" s="9">
        <f>(AD58-MIN($AD$2:$AD$126))/(MAX($AD$2:$AD$126)-MIN($AD$2:$AD$126))</f>
        <v>7.7844311377245512E-2</v>
      </c>
      <c r="AP58" s="9">
        <f>1-(AE58-MIN($AE$2:$AE$126))/(MAX($AE$2:$AE$126)-MIN($AE$2:$AE$126))</f>
        <v>0.69569999999999999</v>
      </c>
      <c r="AQ58" s="9">
        <f>(V58-MIN($V$2:$V$126))/(MAX($V$2:$V$126)-MIN($V$2:$V$126))</f>
        <v>0.80555555555555558</v>
      </c>
      <c r="AR58" s="9">
        <f>1-(Y58-MIN($Y$2:$Y$126))/(MAX($Y$2:$Y$126)-MIN($Y$2:$Y$126))</f>
        <v>0.98958333333333337</v>
      </c>
      <c r="AS58" s="9">
        <f>1-(AA58-MIN($AA$2:$AA$126))/(MAX($AA$2:$AA$126)-MIN($AA$2:$AA$126))</f>
        <v>0.55959425190194423</v>
      </c>
      <c r="AT58" s="9">
        <f>(K58-MIN($K$2:$K$126))/(MAX($K$2:$K$126)-MIN($K$2:$K$126))</f>
        <v>0.48484848484848475</v>
      </c>
      <c r="AU58" s="9">
        <f>(L58-MIN($L$2:$L$126))/(MAX($L$2:$L$126)-MIN($L$2:$L$126))</f>
        <v>1.3258611262985238E-2</v>
      </c>
      <c r="AV58" s="8">
        <f>(AI58*(Tablero!$B$5/100)+AJ58*(Tablero!$B$6/100))*(Tablero!$B$4/100)</f>
        <v>7.0483397765617961E-2</v>
      </c>
      <c r="AW58" s="8">
        <f>(AK58*(Tablero!$B$8/100))*(Tablero!$B$7/100)</f>
        <v>7.4525085241110567E-2</v>
      </c>
      <c r="AX58" s="8">
        <f>(AL58*(Tablero!$B$10/100)+AM58*(Tablero!$B$11/100)+AN58*(Tablero!$B$12/100)+AO58*(Tablero!$B$13/100)+AP58*(Tablero!$B$14/100))*(Tablero!$B$9/100)</f>
        <v>0.106748001288438</v>
      </c>
      <c r="AY58" s="8">
        <f>(AQ58*(Tablero!$B$16/100)+AR58*(Tablero!$B$17/100)+AS58*(Tablero!$B$18/100))*(Tablero!$B$15/100)</f>
        <v>0.21824332851977085</v>
      </c>
      <c r="AZ58" s="8">
        <f>(AT58*(Tablero!$B$20/100)+AU58*(Tablero!$B$21/100))*(Tablero!$B$19/100)</f>
        <v>1.2452677402786751E-2</v>
      </c>
    </row>
    <row r="59" spans="2:52" hidden="1" x14ac:dyDescent="0.4">
      <c r="B59" t="s">
        <v>155</v>
      </c>
      <c r="C59" t="s">
        <v>156</v>
      </c>
      <c r="D59" s="3">
        <v>17641</v>
      </c>
      <c r="E59" s="3">
        <v>156</v>
      </c>
      <c r="F59">
        <v>55</v>
      </c>
      <c r="G59">
        <v>25.2</v>
      </c>
      <c r="H59">
        <v>53.3</v>
      </c>
      <c r="I59">
        <v>64.7</v>
      </c>
      <c r="J59">
        <v>41</v>
      </c>
      <c r="K59">
        <v>0.26</v>
      </c>
      <c r="L59">
        <v>67</v>
      </c>
      <c r="M59">
        <v>0</v>
      </c>
      <c r="N59">
        <v>158.44947648999991</v>
      </c>
      <c r="O59" s="3">
        <v>5.1100000000000003</v>
      </c>
      <c r="P59">
        <v>31</v>
      </c>
      <c r="Q59">
        <v>70.391025641025635</v>
      </c>
      <c r="R59">
        <v>50</v>
      </c>
      <c r="S59">
        <v>31.41</v>
      </c>
      <c r="T59">
        <v>50</v>
      </c>
      <c r="U59">
        <v>54.49</v>
      </c>
      <c r="V59" s="3">
        <v>160</v>
      </c>
      <c r="W59">
        <v>5</v>
      </c>
      <c r="X59">
        <v>5</v>
      </c>
      <c r="Y59">
        <v>0</v>
      </c>
      <c r="Z59">
        <v>0</v>
      </c>
      <c r="AA59" s="3">
        <v>28.3</v>
      </c>
      <c r="AB59">
        <v>66</v>
      </c>
      <c r="AC59">
        <v>65037.37</v>
      </c>
      <c r="AD59">
        <v>0.09</v>
      </c>
      <c r="AE59">
        <v>48.48</v>
      </c>
      <c r="AF59">
        <v>3.5</v>
      </c>
      <c r="AG59" s="10">
        <f>AV59+AW59+AX59+AY59+AZ59</f>
        <v>0.42298529053400363</v>
      </c>
      <c r="AH59" t="s">
        <v>41</v>
      </c>
      <c r="AI59" s="9">
        <f>(G59-MIN($G$2:$G$126))/(MAX($G$2:$G$126)-MIN($G$2:$G$126))</f>
        <v>0.43896713615023469</v>
      </c>
      <c r="AJ59" s="9">
        <f>(N59-MIN($N$2:$N$126))/(MAX($N$2:$N$126)-MIN($N$2:$N$126))</f>
        <v>3.3418997455603927E-3</v>
      </c>
      <c r="AK59" s="9">
        <f>(O59-MIN($O$2:$O$126))/(MAX($O$2:$O$126)-MIN($O$2:$O$126))</f>
        <v>0.24890404286410131</v>
      </c>
      <c r="AL59" s="9">
        <f>(S59-MIN($S$2:$S$126))/(MAX($S$2:$S$126)-MIN($S$2:$S$126))</f>
        <v>0.48603351955307267</v>
      </c>
      <c r="AM59" s="9">
        <f>(T59-MIN($T$2:$T$126))/(MAX($T$2:$T$126)-MIN($T$2:$T$126))</f>
        <v>0.4431801814777474</v>
      </c>
      <c r="AN59" s="9">
        <f>1-(AC59-MIN($AC$2:$AC$126))/(MAX($AC$2:$AC$126)-MIN($AC$2:$AC$126))</f>
        <v>0.49464232433428745</v>
      </c>
      <c r="AO59" s="9">
        <f>(AD59-MIN($AD$2:$AD$126))/(MAX($AD$2:$AD$126)-MIN($AD$2:$AD$126))</f>
        <v>5.3892215568862277E-2</v>
      </c>
      <c r="AP59" s="9">
        <f>1-(AE59-MIN($AE$2:$AE$126))/(MAX($AE$2:$AE$126)-MIN($AE$2:$AE$126))</f>
        <v>0.5152000000000001</v>
      </c>
      <c r="AQ59" s="9">
        <f>(V59-MIN($V$2:$V$126))/(MAX($V$2:$V$126)-MIN($V$2:$V$126))</f>
        <v>0.44444444444444442</v>
      </c>
      <c r="AR59" s="9">
        <f>1-(Y59-MIN($Y$2:$Y$126))/(MAX($Y$2:$Y$126)-MIN($Y$2:$Y$126))</f>
        <v>1</v>
      </c>
      <c r="AS59" s="9">
        <f>1-(AA59-MIN($AA$2:$AA$126))/(MAX($AA$2:$AA$126)-MIN($AA$2:$AA$126))</f>
        <v>0.82079459002535926</v>
      </c>
      <c r="AT59" s="9">
        <f>(K59-MIN($K$2:$K$126))/(MAX($K$2:$K$126)-MIN($K$2:$K$126))</f>
        <v>0.63636363636363635</v>
      </c>
      <c r="AU59" s="9">
        <f>(L59-MIN($L$2:$L$126))/(MAX($L$2:$L$126)-MIN($L$2:$L$126))</f>
        <v>8.3378895571350458E-3</v>
      </c>
      <c r="AV59" s="8">
        <f>(AI59*(Tablero!$B$5/100)+AJ59*(Tablero!$B$6/100))*(Tablero!$B$4/100)</f>
        <v>6.6179260397091252E-2</v>
      </c>
      <c r="AW59" s="8">
        <f>(AK59*(Tablero!$B$8/100))*(Tablero!$B$7/100)</f>
        <v>6.2226010716025328E-2</v>
      </c>
      <c r="AX59" s="8">
        <f>(AL59*(Tablero!$B$10/100)+AM59*(Tablero!$B$11/100)+AN59*(Tablero!$B$12/100)+AO59*(Tablero!$B$13/100)+AP59*(Tablero!$B$14/100))*(Tablero!$B$9/100)</f>
        <v>8.8498172077789303E-2</v>
      </c>
      <c r="AY59" s="8">
        <f>(AQ59*(Tablero!$B$16/100)+AR59*(Tablero!$B$17/100)+AS59*(Tablero!$B$18/100))*(Tablero!$B$15/100)</f>
        <v>0.18996430919507845</v>
      </c>
      <c r="AZ59" s="8">
        <f>(AT59*(Tablero!$B$20/100)+AU59*(Tablero!$B$21/100))*(Tablero!$B$19/100)</f>
        <v>1.6117538148019285E-2</v>
      </c>
    </row>
    <row r="60" spans="2:52" x14ac:dyDescent="0.4">
      <c r="B60" t="s">
        <v>193</v>
      </c>
      <c r="C60" t="s">
        <v>194</v>
      </c>
      <c r="D60" s="3">
        <v>21995</v>
      </c>
      <c r="E60" s="3">
        <v>147</v>
      </c>
      <c r="F60">
        <v>41</v>
      </c>
      <c r="G60">
        <v>18.399999999999999</v>
      </c>
      <c r="H60">
        <v>30.9</v>
      </c>
      <c r="I60">
        <v>72.099999999999994</v>
      </c>
      <c r="J60">
        <v>27</v>
      </c>
      <c r="K60">
        <v>0.18</v>
      </c>
      <c r="L60">
        <v>66</v>
      </c>
      <c r="M60">
        <v>0</v>
      </c>
      <c r="N60">
        <v>626.14587059999985</v>
      </c>
      <c r="O60" s="3">
        <v>10.1</v>
      </c>
      <c r="P60">
        <v>62</v>
      </c>
      <c r="Q60">
        <v>71.319727891156461</v>
      </c>
      <c r="R60">
        <v>44.22</v>
      </c>
      <c r="S60">
        <v>42.86</v>
      </c>
      <c r="T60">
        <v>46.94</v>
      </c>
      <c r="U60">
        <v>51.02</v>
      </c>
      <c r="V60" s="3">
        <v>105</v>
      </c>
      <c r="W60">
        <v>6</v>
      </c>
      <c r="X60">
        <v>4</v>
      </c>
      <c r="Y60">
        <v>2</v>
      </c>
      <c r="Z60">
        <v>0</v>
      </c>
      <c r="AA60" s="3">
        <v>27.3</v>
      </c>
      <c r="AB60">
        <v>45</v>
      </c>
      <c r="AC60">
        <v>35534.46</v>
      </c>
      <c r="AD60">
        <v>0.11</v>
      </c>
      <c r="AE60">
        <v>6.67</v>
      </c>
      <c r="AF60">
        <v>2.75</v>
      </c>
      <c r="AG60" s="10">
        <f>AV60+AW60+AX60+AY60+AZ60</f>
        <v>0.47944060647454412</v>
      </c>
      <c r="AH60" t="s">
        <v>41</v>
      </c>
      <c r="AI60" s="9">
        <f>(G60-MIN($G$2:$G$126))/(MAX($G$2:$G$126)-MIN($G$2:$G$126))</f>
        <v>0.27934272300469482</v>
      </c>
      <c r="AJ60" s="9">
        <f>(N60-MIN($N$2:$N$126))/(MAX($N$2:$N$126)-MIN($N$2:$N$126))</f>
        <v>1.3206207884024743E-2</v>
      </c>
      <c r="AK60" s="9">
        <f>(O60-MIN($O$2:$O$126))/(MAX($O$2:$O$126)-MIN($O$2:$O$126))</f>
        <v>0.49196298100340963</v>
      </c>
      <c r="AL60" s="9">
        <f>(S60-MIN($S$2:$S$126))/(MAX($S$2:$S$126)-MIN($S$2:$S$126))</f>
        <v>0.75256052141526997</v>
      </c>
      <c r="AM60" s="9">
        <f>(T60-MIN($T$2:$T$126))/(MAX($T$2:$T$126)-MIN($T$2:$T$126))</f>
        <v>0.39910701425896589</v>
      </c>
      <c r="AN60" s="9">
        <f>1-(AC60-MIN($AC$2:$AC$126))/(MAX($AC$2:$AC$126)-MIN($AC$2:$AC$126))</f>
        <v>0.79508143133403186</v>
      </c>
      <c r="AO60" s="9">
        <f>(AD60-MIN($AD$2:$AD$126))/(MAX($AD$2:$AD$126)-MIN($AD$2:$AD$126))</f>
        <v>6.5868263473053898E-2</v>
      </c>
      <c r="AP60" s="9">
        <f>1-(AE60-MIN($AE$2:$AE$126))/(MAX($AE$2:$AE$126)-MIN($AE$2:$AE$126))</f>
        <v>0.93330000000000002</v>
      </c>
      <c r="AQ60" s="9">
        <f>(V60-MIN($V$2:$V$126))/(MAX($V$2:$V$126)-MIN($V$2:$V$126))</f>
        <v>0.29166666666666669</v>
      </c>
      <c r="AR60" s="9">
        <f>1-(Y60-MIN($Y$2:$Y$126))/(MAX($Y$2:$Y$126)-MIN($Y$2:$Y$126))</f>
        <v>0.97916666666666663</v>
      </c>
      <c r="AS60" s="9">
        <f>1-(AA60-MIN($AA$2:$AA$126))/(MAX($AA$2:$AA$126)-MIN($AA$2:$AA$126))</f>
        <v>0.82924767540152156</v>
      </c>
      <c r="AT60" s="9">
        <f>(K60-MIN($K$2:$K$126))/(MAX($K$2:$K$126)-MIN($K$2:$K$126))</f>
        <v>0.39393939393939392</v>
      </c>
      <c r="AU60" s="9">
        <f>(L60-MIN($L$2:$L$126))/(MAX($L$2:$L$126)-MIN($L$2:$L$126))</f>
        <v>8.2012028430836527E-3</v>
      </c>
      <c r="AV60" s="8">
        <f>(AI60*(Tablero!$B$5/100)+AJ60*(Tablero!$B$6/100))*(Tablero!$B$4/100)</f>
        <v>4.3222029239106695E-2</v>
      </c>
      <c r="AW60" s="8">
        <f>(AK60*(Tablero!$B$8/100))*(Tablero!$B$7/100)</f>
        <v>0.12299074525085241</v>
      </c>
      <c r="AX60" s="8">
        <f>(AL60*(Tablero!$B$10/100)+AM60*(Tablero!$B$11/100)+AN60*(Tablero!$B$12/100)+AO60*(Tablero!$B$13/100)+AP60*(Tablero!$B$14/100))*(Tablero!$B$9/100)</f>
        <v>0.13088062517998508</v>
      </c>
      <c r="AY60" s="8">
        <f>(AQ60*(Tablero!$B$16/100)+AR60*(Tablero!$B$17/100)+AS60*(Tablero!$B$18/100))*(Tablero!$B$15/100)</f>
        <v>0.17229369188503801</v>
      </c>
      <c r="AZ60" s="8">
        <f>(AT60*(Tablero!$B$20/100)+AU60*(Tablero!$B$21/100))*(Tablero!$B$19/100)</f>
        <v>1.005351491956194E-2</v>
      </c>
    </row>
    <row r="61" spans="2:52" hidden="1" x14ac:dyDescent="0.4">
      <c r="B61" t="s">
        <v>159</v>
      </c>
      <c r="C61" t="s">
        <v>160</v>
      </c>
      <c r="D61" s="3">
        <v>8023</v>
      </c>
      <c r="E61" s="3">
        <v>66</v>
      </c>
      <c r="F61">
        <v>33</v>
      </c>
      <c r="G61">
        <v>23.2</v>
      </c>
      <c r="H61">
        <v>69.7</v>
      </c>
      <c r="I61">
        <v>50</v>
      </c>
      <c r="J61">
        <v>9</v>
      </c>
      <c r="K61">
        <v>0.14000000000000001</v>
      </c>
      <c r="L61">
        <v>36</v>
      </c>
      <c r="M61">
        <v>0</v>
      </c>
      <c r="N61">
        <v>128.56212413</v>
      </c>
      <c r="O61" s="3">
        <v>5.84</v>
      </c>
      <c r="P61">
        <v>22</v>
      </c>
      <c r="Q61">
        <v>72.227272727272734</v>
      </c>
      <c r="R61">
        <v>57.58</v>
      </c>
      <c r="S61">
        <v>34.85</v>
      </c>
      <c r="T61">
        <v>68.180000000000007</v>
      </c>
      <c r="U61">
        <v>69.7</v>
      </c>
      <c r="V61" s="3">
        <v>190</v>
      </c>
      <c r="W61">
        <v>1</v>
      </c>
      <c r="X61">
        <v>1</v>
      </c>
      <c r="Y61">
        <v>0</v>
      </c>
      <c r="Z61">
        <v>0</v>
      </c>
      <c r="AA61" s="3">
        <v>12.5</v>
      </c>
      <c r="AB61">
        <v>14</v>
      </c>
      <c r="AC61">
        <v>95773.66</v>
      </c>
      <c r="AD61">
        <v>0</v>
      </c>
      <c r="AE61">
        <v>64.290000000000006</v>
      </c>
      <c r="AF61">
        <v>2.48</v>
      </c>
      <c r="AG61" s="10">
        <f>AV61+AW61+AX61+AY61+AZ61</f>
        <v>0.42457134347755715</v>
      </c>
      <c r="AH61" t="s">
        <v>41</v>
      </c>
      <c r="AI61" s="9">
        <f>(G61-MIN($G$2:$G$126))/(MAX($G$2:$G$126)-MIN($G$2:$G$126))</f>
        <v>0.392018779342723</v>
      </c>
      <c r="AJ61" s="9">
        <f>(N61-MIN($N$2:$N$126))/(MAX($N$2:$N$126)-MIN($N$2:$N$126))</f>
        <v>2.7115377054960877E-3</v>
      </c>
      <c r="AK61" s="9">
        <f>(O61-MIN($O$2:$O$126))/(MAX($O$2:$O$126)-MIN($O$2:$O$126))</f>
        <v>0.28446176327325862</v>
      </c>
      <c r="AL61" s="9">
        <f>(S61-MIN($S$2:$S$126))/(MAX($S$2:$S$126)-MIN($S$2:$S$126))</f>
        <v>0.56610800744878953</v>
      </c>
      <c r="AM61" s="9">
        <f>(T61-MIN($T$2:$T$126))/(MAX($T$2:$T$126)-MIN($T$2:$T$126))</f>
        <v>0.7050266455422729</v>
      </c>
      <c r="AN61" s="9">
        <f>1-(AC61-MIN($AC$2:$AC$126))/(MAX($AC$2:$AC$126)-MIN($AC$2:$AC$126))</f>
        <v>0.18164325000280035</v>
      </c>
      <c r="AO61" s="9">
        <f>(AD61-MIN($AD$2:$AD$126))/(MAX($AD$2:$AD$126)-MIN($AD$2:$AD$126))</f>
        <v>0</v>
      </c>
      <c r="AP61" s="9">
        <f>1-(AE61-MIN($AE$2:$AE$126))/(MAX($AE$2:$AE$126)-MIN($AE$2:$AE$126))</f>
        <v>0.35709999999999997</v>
      </c>
      <c r="AQ61" s="9">
        <f>(V61-MIN($V$2:$V$126))/(MAX($V$2:$V$126)-MIN($V$2:$V$126))</f>
        <v>0.52777777777777779</v>
      </c>
      <c r="AR61" s="9">
        <f>1-(Y61-MIN($Y$2:$Y$126))/(MAX($Y$2:$Y$126)-MIN($Y$2:$Y$126))</f>
        <v>1</v>
      </c>
      <c r="AS61" s="9">
        <f>1-(AA61-MIN($AA$2:$AA$126))/(MAX($AA$2:$AA$126)-MIN($AA$2:$AA$126))</f>
        <v>0.95435333896872354</v>
      </c>
      <c r="AT61" s="9">
        <f>(K61-MIN($K$2:$K$126))/(MAX($K$2:$K$126)-MIN($K$2:$K$126))</f>
        <v>0.27272727272727276</v>
      </c>
      <c r="AU61" s="9">
        <f>(L61-MIN($L$2:$L$126))/(MAX($L$2:$L$126)-MIN($L$2:$L$126))</f>
        <v>4.1006014215418263E-3</v>
      </c>
      <c r="AV61" s="8">
        <f>(AI61*(Tablero!$B$5/100)+AJ61*(Tablero!$B$6/100))*(Tablero!$B$4/100)</f>
        <v>5.9073970671958055E-2</v>
      </c>
      <c r="AW61" s="8">
        <f>(AK61*(Tablero!$B$8/100))*(Tablero!$B$7/100)</f>
        <v>7.1115440818314654E-2</v>
      </c>
      <c r="AX61" s="8">
        <f>(AL61*(Tablero!$B$10/100)+AM61*(Tablero!$B$11/100)+AN61*(Tablero!$B$12/100)+AO61*(Tablero!$B$13/100)+AP61*(Tablero!$B$14/100))*(Tablero!$B$9/100)</f>
        <v>8.5824623881568182E-2</v>
      </c>
      <c r="AY61" s="8">
        <f>(AQ61*(Tablero!$B$16/100)+AR61*(Tablero!$B$17/100)+AS61*(Tablero!$B$18/100))*(Tablero!$B$15/100)</f>
        <v>0.20163661125199589</v>
      </c>
      <c r="AZ61" s="8">
        <f>(AT61*(Tablero!$B$20/100)+AU61*(Tablero!$B$21/100))*(Tablero!$B$19/100)</f>
        <v>6.9206968537203657E-3</v>
      </c>
    </row>
    <row r="62" spans="2:52" hidden="1" x14ac:dyDescent="0.4">
      <c r="B62" t="s">
        <v>161</v>
      </c>
      <c r="C62" t="s">
        <v>162</v>
      </c>
      <c r="D62" s="3">
        <v>11265</v>
      </c>
      <c r="E62" s="3">
        <v>69</v>
      </c>
      <c r="F62">
        <v>30</v>
      </c>
      <c r="G62">
        <v>17.899999999999999</v>
      </c>
      <c r="H62">
        <v>46.7</v>
      </c>
      <c r="I62">
        <v>56.5</v>
      </c>
      <c r="J62">
        <v>6</v>
      </c>
      <c r="K62">
        <v>0.09</v>
      </c>
      <c r="L62">
        <v>31</v>
      </c>
      <c r="M62">
        <v>1</v>
      </c>
      <c r="N62">
        <v>175.41184337000001</v>
      </c>
      <c r="O62" s="3">
        <v>7.63</v>
      </c>
      <c r="P62">
        <v>23</v>
      </c>
      <c r="Q62">
        <v>75.028985507246375</v>
      </c>
      <c r="R62">
        <v>55.07</v>
      </c>
      <c r="S62">
        <v>47.83</v>
      </c>
      <c r="T62">
        <v>75.36</v>
      </c>
      <c r="U62">
        <v>71.010000000000005</v>
      </c>
      <c r="V62" s="3">
        <v>340</v>
      </c>
      <c r="W62">
        <v>7</v>
      </c>
      <c r="X62">
        <v>6</v>
      </c>
      <c r="Y62">
        <v>1</v>
      </c>
      <c r="Z62">
        <v>0</v>
      </c>
      <c r="AA62" s="3">
        <v>62.1</v>
      </c>
      <c r="AC62">
        <v>52157.1</v>
      </c>
      <c r="AD62">
        <v>0.12</v>
      </c>
      <c r="AE62">
        <v>45.83</v>
      </c>
      <c r="AF62">
        <v>3.02</v>
      </c>
      <c r="AG62" s="10">
        <f>AV62+AW62+AX62+AY62+AZ62</f>
        <v>0.49121938615690158</v>
      </c>
      <c r="AH62" t="s">
        <v>48</v>
      </c>
      <c r="AI62" s="9">
        <f>(G62-MIN($G$2:$G$126))/(MAX($G$2:$G$126)-MIN($G$2:$G$126))</f>
        <v>0.26760563380281688</v>
      </c>
      <c r="AJ62" s="9">
        <f>(N62-MIN($N$2:$N$126))/(MAX($N$2:$N$126)-MIN($N$2:$N$126))</f>
        <v>3.6996575041601948E-3</v>
      </c>
      <c r="AK62" s="9">
        <f>(O62-MIN($O$2:$O$126))/(MAX($O$2:$O$126)-MIN($O$2:$O$126))</f>
        <v>0.37165124208475397</v>
      </c>
      <c r="AL62" s="9">
        <f>(S62-MIN($S$2:$S$126))/(MAX($S$2:$S$126)-MIN($S$2:$S$126))</f>
        <v>0.86824953445065167</v>
      </c>
      <c r="AM62" s="9">
        <f>(T62-MIN($T$2:$T$126))/(MAX($T$2:$T$126)-MIN($T$2:$T$126))</f>
        <v>0.80844015555235493</v>
      </c>
      <c r="AN62" s="9">
        <f>1-(AC62-MIN($AC$2:$AC$126))/(MAX($AC$2:$AC$126)-MIN($AC$2:$AC$126))</f>
        <v>0.62580690493720414</v>
      </c>
      <c r="AO62" s="9">
        <f>(AD62-MIN($AD$2:$AD$126))/(MAX($AD$2:$AD$126)-MIN($AD$2:$AD$126))</f>
        <v>7.1856287425149698E-2</v>
      </c>
      <c r="AP62" s="9">
        <f>1-(AE62-MIN($AE$2:$AE$126))/(MAX($AE$2:$AE$126)-MIN($AE$2:$AE$126))</f>
        <v>0.54170000000000007</v>
      </c>
      <c r="AQ62" s="9">
        <f>(V62-MIN($V$2:$V$126))/(MAX($V$2:$V$126)-MIN($V$2:$V$126))</f>
        <v>0.94444444444444442</v>
      </c>
      <c r="AR62" s="9">
        <f>1-(Y62-MIN($Y$2:$Y$126))/(MAX($Y$2:$Y$126)-MIN($Y$2:$Y$126))</f>
        <v>0.98958333333333337</v>
      </c>
      <c r="AS62" s="9">
        <f>1-(AA62-MIN($AA$2:$AA$126))/(MAX($AA$2:$AA$126)-MIN($AA$2:$AA$126))</f>
        <v>0.53508030431107356</v>
      </c>
      <c r="AT62" s="9">
        <f>(K62-MIN($K$2:$K$126))/(MAX($K$2:$K$126)-MIN($K$2:$K$126))</f>
        <v>0.12121212121212119</v>
      </c>
      <c r="AU62" s="9">
        <f>(L62-MIN($L$2:$L$126))/(MAX($L$2:$L$126)-MIN($L$2:$L$126))</f>
        <v>3.4171678512848551E-3</v>
      </c>
      <c r="AV62" s="8">
        <f>(AI62*(Tablero!$B$5/100)+AJ62*(Tablero!$B$6/100))*(Tablero!$B$4/100)</f>
        <v>4.0510810820838551E-2</v>
      </c>
      <c r="AW62" s="8">
        <f>(AK62*(Tablero!$B$8/100))*(Tablero!$B$7/100)</f>
        <v>9.2912810521188494E-2</v>
      </c>
      <c r="AX62" s="8">
        <f>(AL62*(Tablero!$B$10/100)+AM62*(Tablero!$B$11/100)+AN62*(Tablero!$B$12/100)+AO62*(Tablero!$B$13/100)+AP62*(Tablero!$B$14/100))*(Tablero!$B$9/100)</f>
        <v>0.12316066386940142</v>
      </c>
      <c r="AY62" s="8">
        <f>(AQ62*(Tablero!$B$16/100)+AR62*(Tablero!$B$17/100)+AS62*(Tablero!$B$18/100))*(Tablero!$B$15/100)</f>
        <v>0.23151936871888795</v>
      </c>
      <c r="AZ62" s="8">
        <f>(AT62*(Tablero!$B$20/100)+AU62*(Tablero!$B$21/100))*(Tablero!$B$19/100)</f>
        <v>3.1157322265851512E-3</v>
      </c>
    </row>
    <row r="63" spans="2:52" hidden="1" x14ac:dyDescent="0.4">
      <c r="B63" t="s">
        <v>163</v>
      </c>
      <c r="C63" t="s">
        <v>164</v>
      </c>
      <c r="D63" s="3">
        <v>6063</v>
      </c>
      <c r="E63" s="3">
        <v>50</v>
      </c>
      <c r="F63">
        <v>26</v>
      </c>
      <c r="G63">
        <v>22.8</v>
      </c>
      <c r="H63">
        <v>71.2</v>
      </c>
      <c r="I63">
        <v>48</v>
      </c>
      <c r="J63">
        <v>10</v>
      </c>
      <c r="K63">
        <v>0.2</v>
      </c>
      <c r="L63">
        <v>16</v>
      </c>
      <c r="M63">
        <v>0</v>
      </c>
      <c r="N63">
        <v>94.957365179999982</v>
      </c>
      <c r="O63" s="3">
        <v>5.59</v>
      </c>
      <c r="P63">
        <v>17</v>
      </c>
      <c r="Q63">
        <v>70.38</v>
      </c>
      <c r="R63">
        <v>56</v>
      </c>
      <c r="S63">
        <v>42</v>
      </c>
      <c r="T63">
        <v>68</v>
      </c>
      <c r="U63">
        <v>58</v>
      </c>
      <c r="V63" s="3">
        <v>145</v>
      </c>
      <c r="W63">
        <v>2</v>
      </c>
      <c r="X63">
        <v>2</v>
      </c>
      <c r="Y63">
        <v>0</v>
      </c>
      <c r="Z63">
        <v>0</v>
      </c>
      <c r="AA63" s="3">
        <v>33</v>
      </c>
      <c r="AB63">
        <v>23</v>
      </c>
      <c r="AC63">
        <v>94601.75</v>
      </c>
      <c r="AD63">
        <v>0.04</v>
      </c>
      <c r="AE63">
        <v>52.17</v>
      </c>
      <c r="AF63">
        <v>1.47</v>
      </c>
      <c r="AG63" s="10">
        <f>AV63+AW63+AX63+AY63+AZ63</f>
        <v>0.42127944295483399</v>
      </c>
      <c r="AH63" t="s">
        <v>41</v>
      </c>
      <c r="AI63" s="9">
        <f>(G63-MIN($G$2:$G$126))/(MAX($G$2:$G$126)-MIN($G$2:$G$126))</f>
        <v>0.38262910798122068</v>
      </c>
      <c r="AJ63" s="9">
        <f>(N63-MIN($N$2:$N$126))/(MAX($N$2:$N$126)-MIN($N$2:$N$126))</f>
        <v>2.0027708615001647E-3</v>
      </c>
      <c r="AK63" s="9">
        <f>(O63-MIN($O$2:$O$126))/(MAX($O$2:$O$126)-MIN($O$2:$O$126))</f>
        <v>0.27228446176327326</v>
      </c>
      <c r="AL63" s="9">
        <f>(S63-MIN($S$2:$S$126))/(MAX($S$2:$S$126)-MIN($S$2:$S$126))</f>
        <v>0.73254189944134074</v>
      </c>
      <c r="AM63" s="9">
        <f>(T63-MIN($T$2:$T$126))/(MAX($T$2:$T$126)-MIN($T$2:$T$126))</f>
        <v>0.70243410629410918</v>
      </c>
      <c r="AN63" s="9">
        <f>1-(AC63-MIN($AC$2:$AC$126))/(MAX($AC$2:$AC$126)-MIN($AC$2:$AC$126))</f>
        <v>0.19357724545897981</v>
      </c>
      <c r="AO63" s="9">
        <f>(AD63-MIN($AD$2:$AD$126))/(MAX($AD$2:$AD$126)-MIN($AD$2:$AD$126))</f>
        <v>2.3952095808383235E-2</v>
      </c>
      <c r="AP63" s="9">
        <f>1-(AE63-MIN($AE$2:$AE$126))/(MAX($AE$2:$AE$126)-MIN($AE$2:$AE$126))</f>
        <v>0.47829999999999995</v>
      </c>
      <c r="AQ63" s="9">
        <f>(V63-MIN($V$2:$V$126))/(MAX($V$2:$V$126)-MIN($V$2:$V$126))</f>
        <v>0.40277777777777779</v>
      </c>
      <c r="AR63" s="9">
        <f>1-(Y63-MIN($Y$2:$Y$126))/(MAX($Y$2:$Y$126)-MIN($Y$2:$Y$126))</f>
        <v>1</v>
      </c>
      <c r="AS63" s="9">
        <f>1-(AA63-MIN($AA$2:$AA$126))/(MAX($AA$2:$AA$126)-MIN($AA$2:$AA$126))</f>
        <v>0.78106508875739644</v>
      </c>
      <c r="AT63" s="9">
        <f>(K63-MIN($K$2:$K$126))/(MAX($K$2:$K$126)-MIN($K$2:$K$126))</f>
        <v>0.45454545454545459</v>
      </c>
      <c r="AU63" s="9">
        <f>(L63-MIN($L$2:$L$126))/(MAX($L$2:$L$126)-MIN($L$2:$L$126))</f>
        <v>1.366867140513942E-3</v>
      </c>
      <c r="AV63" s="8">
        <f>(AI63*(Tablero!$B$5/100)+AJ63*(Tablero!$B$6/100))*(Tablero!$B$4/100)</f>
        <v>5.7594643283333115E-2</v>
      </c>
      <c r="AW63" s="8">
        <f>(AK63*(Tablero!$B$8/100))*(Tablero!$B$7/100)</f>
        <v>6.8071115440818314E-2</v>
      </c>
      <c r="AX63" s="8">
        <f>(AL63*(Tablero!$B$10/100)+AM63*(Tablero!$B$11/100)+AN63*(Tablero!$B$12/100)+AO63*(Tablero!$B$13/100)+AP63*(Tablero!$B$14/100))*(Tablero!$B$9/100)</f>
        <v>9.941147119182063E-2</v>
      </c>
      <c r="AY63" s="8">
        <f>(AQ63*(Tablero!$B$16/100)+AR63*(Tablero!$B$17/100)+AS63*(Tablero!$B$18/100))*(Tablero!$B$15/100)</f>
        <v>0.18480440499671269</v>
      </c>
      <c r="AZ63" s="8">
        <f>(AT63*(Tablero!$B$20/100)+AU63*(Tablero!$B$21/100))*(Tablero!$B$19/100)</f>
        <v>1.1397808042149214E-2</v>
      </c>
    </row>
    <row r="64" spans="2:52" hidden="1" x14ac:dyDescent="0.4">
      <c r="B64" t="s">
        <v>165</v>
      </c>
      <c r="C64" t="s">
        <v>166</v>
      </c>
      <c r="D64" s="3">
        <v>6745</v>
      </c>
      <c r="E64" s="3">
        <v>44</v>
      </c>
      <c r="F64">
        <v>13</v>
      </c>
      <c r="G64">
        <v>18.100000000000001</v>
      </c>
      <c r="H64">
        <v>32</v>
      </c>
      <c r="I64">
        <v>70.5</v>
      </c>
      <c r="J64">
        <v>6</v>
      </c>
      <c r="K64">
        <v>0.14000000000000001</v>
      </c>
      <c r="L64">
        <v>17</v>
      </c>
      <c r="M64">
        <v>0</v>
      </c>
      <c r="N64">
        <v>52.728606959999979</v>
      </c>
      <c r="O64" s="3">
        <v>5.27</v>
      </c>
      <c r="P64">
        <v>10</v>
      </c>
      <c r="Q64">
        <v>74.477272727272734</v>
      </c>
      <c r="R64">
        <v>29.55</v>
      </c>
      <c r="S64">
        <v>38.64</v>
      </c>
      <c r="T64">
        <v>61.36</v>
      </c>
      <c r="U64">
        <v>72.73</v>
      </c>
      <c r="V64" s="3">
        <v>175</v>
      </c>
      <c r="W64">
        <v>2</v>
      </c>
      <c r="X64">
        <v>2</v>
      </c>
      <c r="Y64">
        <v>0</v>
      </c>
      <c r="Z64">
        <v>0</v>
      </c>
      <c r="AA64" s="3">
        <v>29.7</v>
      </c>
      <c r="AC64">
        <v>52157.1</v>
      </c>
      <c r="AD64">
        <v>0.12</v>
      </c>
      <c r="AE64">
        <v>45.83</v>
      </c>
      <c r="AF64">
        <v>3.02</v>
      </c>
      <c r="AG64" s="10">
        <f>AV64+AW64+AX64+AY64+AZ64</f>
        <v>0.41260529808319518</v>
      </c>
      <c r="AH64" t="s">
        <v>48</v>
      </c>
      <c r="AI64" s="9">
        <f>(G64-MIN($G$2:$G$126))/(MAX($G$2:$G$126)-MIN($G$2:$G$126))</f>
        <v>0.27230046948356812</v>
      </c>
      <c r="AJ64" s="9">
        <f>(N64-MIN($N$2:$N$126))/(MAX($N$2:$N$126)-MIN($N$2:$N$126))</f>
        <v>1.112112971824802E-3</v>
      </c>
      <c r="AK64" s="9">
        <f>(O64-MIN($O$2:$O$126))/(MAX($O$2:$O$126)-MIN($O$2:$O$126))</f>
        <v>0.25669751583049194</v>
      </c>
      <c r="AL64" s="9">
        <f>(S64-MIN($S$2:$S$126))/(MAX($S$2:$S$126)-MIN($S$2:$S$126))</f>
        <v>0.65432960893854741</v>
      </c>
      <c r="AM64" s="9">
        <f>(T64-MIN($T$2:$T$126))/(MAX($T$2:$T$126)-MIN($T$2:$T$126))</f>
        <v>0.60679821402851797</v>
      </c>
      <c r="AN64" s="9">
        <f>1-(AC64-MIN($AC$2:$AC$126))/(MAX($AC$2:$AC$126)-MIN($AC$2:$AC$126))</f>
        <v>0.62580690493720414</v>
      </c>
      <c r="AO64" s="9">
        <f>(AD64-MIN($AD$2:$AD$126))/(MAX($AD$2:$AD$126)-MIN($AD$2:$AD$126))</f>
        <v>7.1856287425149698E-2</v>
      </c>
      <c r="AP64" s="9">
        <f>1-(AE64-MIN($AE$2:$AE$126))/(MAX($AE$2:$AE$126)-MIN($AE$2:$AE$126))</f>
        <v>0.54170000000000007</v>
      </c>
      <c r="AQ64" s="9">
        <f>(V64-MIN($V$2:$V$126))/(MAX($V$2:$V$126)-MIN($V$2:$V$126))</f>
        <v>0.4861111111111111</v>
      </c>
      <c r="AR64" s="9">
        <f>1-(Y64-MIN($Y$2:$Y$126))/(MAX($Y$2:$Y$126)-MIN($Y$2:$Y$126))</f>
        <v>1</v>
      </c>
      <c r="AS64" s="9">
        <f>1-(AA64-MIN($AA$2:$AA$126))/(MAX($AA$2:$AA$126)-MIN($AA$2:$AA$126))</f>
        <v>0.80896027049873198</v>
      </c>
      <c r="AT64" s="9">
        <f>(K64-MIN($K$2:$K$126))/(MAX($K$2:$K$126)-MIN($K$2:$K$126))</f>
        <v>0.27272727272727276</v>
      </c>
      <c r="AU64" s="9">
        <f>(L64-MIN($L$2:$L$126))/(MAX($L$2:$L$126)-MIN($L$2:$L$126))</f>
        <v>1.5035538545653362E-3</v>
      </c>
      <c r="AV64" s="8">
        <f>(AI64*(Tablero!$B$5/100)+AJ64*(Tablero!$B$6/100))*(Tablero!$B$4/100)</f>
        <v>4.0956281719717699E-2</v>
      </c>
      <c r="AW64" s="8">
        <f>(AK64*(Tablero!$B$8/100))*(Tablero!$B$7/100)</f>
        <v>6.4174378957622985E-2</v>
      </c>
      <c r="AX64" s="8">
        <f>(AL64*(Tablero!$B$10/100)+AM64*(Tablero!$B$11/100)+AN64*(Tablero!$B$12/100)+AO64*(Tablero!$B$13/100)+AP64*(Tablero!$B$14/100))*(Tablero!$B$9/100)</f>
        <v>0.10678374886772912</v>
      </c>
      <c r="AY64" s="8">
        <f>(AQ64*(Tablero!$B$16/100)+AR64*(Tablero!$B$17/100)+AS64*(Tablero!$B$18/100))*(Tablero!$B$15/100)</f>
        <v>0.1938351178735794</v>
      </c>
      <c r="AZ64" s="8">
        <f>(AT64*(Tablero!$B$20/100)+AU64*(Tablero!$B$21/100))*(Tablero!$B$19/100)</f>
        <v>6.8557706645459536E-3</v>
      </c>
    </row>
    <row r="65" spans="2:52" hidden="1" x14ac:dyDescent="0.4">
      <c r="B65" t="s">
        <v>167</v>
      </c>
      <c r="C65" t="s">
        <v>168</v>
      </c>
      <c r="D65" s="3">
        <v>3818</v>
      </c>
      <c r="E65" s="3">
        <v>42</v>
      </c>
      <c r="F65">
        <v>13</v>
      </c>
      <c r="G65">
        <v>30.4</v>
      </c>
      <c r="H65">
        <v>56.5</v>
      </c>
      <c r="I65">
        <v>69</v>
      </c>
      <c r="J65">
        <v>7</v>
      </c>
      <c r="K65">
        <v>0.17</v>
      </c>
      <c r="L65">
        <v>19</v>
      </c>
      <c r="M65">
        <v>0</v>
      </c>
      <c r="N65">
        <v>0</v>
      </c>
      <c r="O65" s="3">
        <v>0</v>
      </c>
      <c r="P65">
        <v>6</v>
      </c>
      <c r="Q65">
        <v>74.857142857142861</v>
      </c>
      <c r="R65">
        <v>42.86</v>
      </c>
      <c r="S65">
        <v>38.1</v>
      </c>
      <c r="T65">
        <v>50</v>
      </c>
      <c r="U65">
        <v>47.62</v>
      </c>
      <c r="V65" s="3">
        <v>160</v>
      </c>
      <c r="W65">
        <v>1</v>
      </c>
      <c r="X65">
        <v>1</v>
      </c>
      <c r="Y65">
        <v>0</v>
      </c>
      <c r="Z65">
        <v>0</v>
      </c>
      <c r="AA65" s="3">
        <v>26.2</v>
      </c>
      <c r="AC65">
        <v>52157.1</v>
      </c>
      <c r="AD65">
        <v>0.12</v>
      </c>
      <c r="AE65">
        <v>45.83</v>
      </c>
      <c r="AF65">
        <v>3.02</v>
      </c>
      <c r="AG65" s="10">
        <f>AV65+AW65+AX65+AY65+AZ65</f>
        <v>0.38041362829440573</v>
      </c>
      <c r="AH65" t="s">
        <v>48</v>
      </c>
      <c r="AI65" s="9">
        <f>(G65-MIN($G$2:$G$126))/(MAX($G$2:$G$126)-MIN($G$2:$G$126))</f>
        <v>0.56103286384976525</v>
      </c>
      <c r="AJ65" s="9">
        <f>(N65-MIN($N$2:$N$126))/(MAX($N$2:$N$126)-MIN($N$2:$N$126))</f>
        <v>0</v>
      </c>
      <c r="AK65" s="9">
        <f>(O65-MIN($O$2:$O$126))/(MAX($O$2:$O$126)-MIN($O$2:$O$126))</f>
        <v>0</v>
      </c>
      <c r="AL65" s="9">
        <f>(S65-MIN($S$2:$S$126))/(MAX($S$2:$S$126)-MIN($S$2:$S$126))</f>
        <v>0.64175977653631289</v>
      </c>
      <c r="AM65" s="9">
        <f>(T65-MIN($T$2:$T$126))/(MAX($T$2:$T$126)-MIN($T$2:$T$126))</f>
        <v>0.4431801814777474</v>
      </c>
      <c r="AN65" s="9">
        <f>1-(AC65-MIN($AC$2:$AC$126))/(MAX($AC$2:$AC$126)-MIN($AC$2:$AC$126))</f>
        <v>0.62580690493720414</v>
      </c>
      <c r="AO65" s="9">
        <f>(AD65-MIN($AD$2:$AD$126))/(MAX($AD$2:$AD$126)-MIN($AD$2:$AD$126))</f>
        <v>7.1856287425149698E-2</v>
      </c>
      <c r="AP65" s="9">
        <f>1-(AE65-MIN($AE$2:$AE$126))/(MAX($AE$2:$AE$126)-MIN($AE$2:$AE$126))</f>
        <v>0.54170000000000007</v>
      </c>
      <c r="AQ65" s="9">
        <f>(V65-MIN($V$2:$V$126))/(MAX($V$2:$V$126)-MIN($V$2:$V$126))</f>
        <v>0.44444444444444442</v>
      </c>
      <c r="AR65" s="9">
        <f>1-(Y65-MIN($Y$2:$Y$126))/(MAX($Y$2:$Y$126)-MIN($Y$2:$Y$126))</f>
        <v>1</v>
      </c>
      <c r="AS65" s="9">
        <f>1-(AA65-MIN($AA$2:$AA$126))/(MAX($AA$2:$AA$126)-MIN($AA$2:$AA$126))</f>
        <v>0.83854606931530007</v>
      </c>
      <c r="AT65" s="9">
        <f>(K65-MIN($K$2:$K$126))/(MAX($K$2:$K$126)-MIN($K$2:$K$126))</f>
        <v>0.36363636363636365</v>
      </c>
      <c r="AU65" s="9">
        <f>(L65-MIN($L$2:$L$126))/(MAX($L$2:$L$126)-MIN($L$2:$L$126))</f>
        <v>1.7769272826681246E-3</v>
      </c>
      <c r="AV65" s="8">
        <f>(AI65*(Tablero!$B$5/100)+AJ65*(Tablero!$B$6/100))*(Tablero!$B$4/100)</f>
        <v>8.4154929577464788E-2</v>
      </c>
      <c r="AW65" s="8">
        <f>(AK65*(Tablero!$B$8/100))*(Tablero!$B$7/100)</f>
        <v>0</v>
      </c>
      <c r="AX65" s="8">
        <f>(AL65*(Tablero!$B$10/100)+AM65*(Tablero!$B$11/100)+AN65*(Tablero!$B$12/100)+AO65*(Tablero!$B$13/100)+AP65*(Tablero!$B$14/100))*(Tablero!$B$9/100)</f>
        <v>9.6715270266638204E-2</v>
      </c>
      <c r="AY65" s="8">
        <f>(AQ65*(Tablero!$B$16/100)+AR65*(Tablero!$B$17/100)+AS65*(Tablero!$B$18/100))*(Tablero!$B$15/100)</f>
        <v>0.19040809617732696</v>
      </c>
      <c r="AZ65" s="8">
        <f>(AT65*(Tablero!$B$20/100)+AU65*(Tablero!$B$21/100))*(Tablero!$B$19/100)</f>
        <v>9.135332272975796E-3</v>
      </c>
    </row>
    <row r="66" spans="2:52" x14ac:dyDescent="0.4">
      <c r="B66" t="s">
        <v>179</v>
      </c>
      <c r="C66" t="s">
        <v>180</v>
      </c>
      <c r="D66" s="3">
        <v>22736</v>
      </c>
      <c r="E66" s="3">
        <v>174</v>
      </c>
      <c r="F66">
        <v>65</v>
      </c>
      <c r="G66">
        <v>21.8</v>
      </c>
      <c r="H66">
        <v>48.9</v>
      </c>
      <c r="I66">
        <v>62.6</v>
      </c>
      <c r="J66">
        <v>46</v>
      </c>
      <c r="K66">
        <v>0.26</v>
      </c>
      <c r="L66">
        <v>89</v>
      </c>
      <c r="M66">
        <v>1</v>
      </c>
      <c r="N66">
        <v>323.10511081999988</v>
      </c>
      <c r="O66" s="3">
        <v>10.77</v>
      </c>
      <c r="P66">
        <v>30</v>
      </c>
      <c r="Q66">
        <v>67.195402298850581</v>
      </c>
      <c r="R66">
        <v>50.57</v>
      </c>
      <c r="S66">
        <v>32.76</v>
      </c>
      <c r="T66">
        <v>45.98</v>
      </c>
      <c r="U66">
        <v>47.13</v>
      </c>
      <c r="V66" s="3">
        <v>140</v>
      </c>
      <c r="W66">
        <v>5</v>
      </c>
      <c r="X66">
        <v>4</v>
      </c>
      <c r="Y66">
        <v>1</v>
      </c>
      <c r="Z66">
        <v>0</v>
      </c>
      <c r="AA66" s="3">
        <v>22</v>
      </c>
      <c r="AC66">
        <v>52157.1</v>
      </c>
      <c r="AD66">
        <v>0.12</v>
      </c>
      <c r="AE66">
        <v>45.83</v>
      </c>
      <c r="AF66">
        <v>3.02</v>
      </c>
      <c r="AG66" s="10">
        <f>AV66+AW66+AX66+AY66+AZ66</f>
        <v>0.47709022746787033</v>
      </c>
      <c r="AH66" t="s">
        <v>48</v>
      </c>
      <c r="AI66" s="9">
        <f>(G66-MIN($G$2:$G$126))/(MAX($G$2:$G$126)-MIN($G$2:$G$126))</f>
        <v>0.35915492957746481</v>
      </c>
      <c r="AJ66" s="9">
        <f>(N66-MIN($N$2:$N$126))/(MAX($N$2:$N$126)-MIN($N$2:$N$126))</f>
        <v>6.8146952047946187E-3</v>
      </c>
      <c r="AK66" s="9">
        <f>(O66-MIN($O$2:$O$126))/(MAX($O$2:$O$126)-MIN($O$2:$O$126))</f>
        <v>0.52459814905017044</v>
      </c>
      <c r="AL66" s="9">
        <f>(S66-MIN($S$2:$S$126))/(MAX($S$2:$S$126)-MIN($S$2:$S$126))</f>
        <v>0.51745810055865915</v>
      </c>
      <c r="AM66" s="9">
        <f>(T66-MIN($T$2:$T$126))/(MAX($T$2:$T$126)-MIN($T$2:$T$126))</f>
        <v>0.3852801382687599</v>
      </c>
      <c r="AN66" s="9">
        <f>1-(AC66-MIN($AC$2:$AC$126))/(MAX($AC$2:$AC$126)-MIN($AC$2:$AC$126))</f>
        <v>0.62580690493720414</v>
      </c>
      <c r="AO66" s="9">
        <f>(AD66-MIN($AD$2:$AD$126))/(MAX($AD$2:$AD$126)-MIN($AD$2:$AD$126))</f>
        <v>7.1856287425149698E-2</v>
      </c>
      <c r="AP66" s="9">
        <f>1-(AE66-MIN($AE$2:$AE$126))/(MAX($AE$2:$AE$126)-MIN($AE$2:$AE$126))</f>
        <v>0.54170000000000007</v>
      </c>
      <c r="AQ66" s="9">
        <f>(V66-MIN($V$2:$V$126))/(MAX($V$2:$V$126)-MIN($V$2:$V$126))</f>
        <v>0.3888888888888889</v>
      </c>
      <c r="AR66" s="9">
        <f>1-(Y66-MIN($Y$2:$Y$126))/(MAX($Y$2:$Y$126)-MIN($Y$2:$Y$126))</f>
        <v>0.98958333333333337</v>
      </c>
      <c r="AS66" s="9">
        <f>1-(AA66-MIN($AA$2:$AA$126))/(MAX($AA$2:$AA$126)-MIN($AA$2:$AA$126))</f>
        <v>0.8740490278951818</v>
      </c>
      <c r="AT66" s="9">
        <f>(K66-MIN($K$2:$K$126))/(MAX($K$2:$K$126)-MIN($K$2:$K$126))</f>
        <v>0.63636363636363635</v>
      </c>
      <c r="AU66" s="9">
        <f>(L66-MIN($L$2:$L$126))/(MAX($L$2:$L$126)-MIN($L$2:$L$126))</f>
        <v>1.1344997266265719E-2</v>
      </c>
      <c r="AV66" s="8">
        <f>(AI66*(Tablero!$B$5/100)+AJ66*(Tablero!$B$6/100))*(Tablero!$B$4/100)</f>
        <v>5.4554708957099185E-2</v>
      </c>
      <c r="AW66" s="8">
        <f>(AK66*(Tablero!$B$8/100))*(Tablero!$B$7/100)</f>
        <v>0.13114953726254261</v>
      </c>
      <c r="AX66" s="8">
        <f>(AL66*(Tablero!$B$10/100)+AM66*(Tablero!$B$11/100)+AN66*(Tablero!$B$12/100)+AO66*(Tablero!$B$13/100)+AP66*(Tablero!$B$14/100))*(Tablero!$B$9/100)</f>
        <v>9.0755234154545866E-2</v>
      </c>
      <c r="AY66" s="8">
        <f>(AQ66*(Tablero!$B$16/100)+AR66*(Tablero!$B$17/100)+AS66*(Tablero!$B$18/100))*(Tablero!$B$15/100)</f>
        <v>0.18443803125293509</v>
      </c>
      <c r="AZ66" s="8">
        <f>(AT66*(Tablero!$B$20/100)+AU66*(Tablero!$B$21/100))*(Tablero!$B$19/100)</f>
        <v>1.6192715840747551E-2</v>
      </c>
    </row>
    <row r="67" spans="2:52" x14ac:dyDescent="0.4">
      <c r="B67" t="s">
        <v>149</v>
      </c>
      <c r="C67" t="s">
        <v>150</v>
      </c>
      <c r="D67" s="3">
        <v>20047</v>
      </c>
      <c r="E67" s="3">
        <v>151</v>
      </c>
      <c r="F67">
        <v>51</v>
      </c>
      <c r="G67">
        <v>20.7</v>
      </c>
      <c r="H67">
        <v>42</v>
      </c>
      <c r="I67">
        <v>66.2</v>
      </c>
      <c r="J67">
        <v>25</v>
      </c>
      <c r="K67">
        <v>0.17</v>
      </c>
      <c r="L67">
        <v>71</v>
      </c>
      <c r="M67">
        <v>4</v>
      </c>
      <c r="N67">
        <v>335.23860797999993</v>
      </c>
      <c r="O67" s="3">
        <v>7.62</v>
      </c>
      <c r="P67">
        <v>44</v>
      </c>
      <c r="Q67">
        <v>72.503311258278146</v>
      </c>
      <c r="R67">
        <v>47.02</v>
      </c>
      <c r="S67">
        <v>44.37</v>
      </c>
      <c r="T67">
        <v>81.459999999999994</v>
      </c>
      <c r="U67">
        <v>60.26</v>
      </c>
      <c r="V67" s="3">
        <v>175</v>
      </c>
      <c r="W67">
        <v>5</v>
      </c>
      <c r="X67">
        <v>4</v>
      </c>
      <c r="Y67">
        <v>1</v>
      </c>
      <c r="Z67">
        <v>0</v>
      </c>
      <c r="AA67" s="3">
        <v>24.9</v>
      </c>
      <c r="AB67">
        <v>57</v>
      </c>
      <c r="AC67">
        <v>38879.9</v>
      </c>
      <c r="AD67">
        <v>0.4</v>
      </c>
      <c r="AE67">
        <v>50.88</v>
      </c>
      <c r="AF67">
        <v>3.37</v>
      </c>
      <c r="AG67" s="10">
        <f>AV67+AW67+AX67+AY67+AZ67</f>
        <v>0.47519731423024342</v>
      </c>
      <c r="AH67" t="s">
        <v>41</v>
      </c>
      <c r="AI67" s="9">
        <f>(G67-MIN($G$2:$G$126))/(MAX($G$2:$G$126)-MIN($G$2:$G$126))</f>
        <v>0.33333333333333331</v>
      </c>
      <c r="AJ67" s="9">
        <f>(N67-MIN($N$2:$N$126))/(MAX($N$2:$N$126)-MIN($N$2:$N$126))</f>
        <v>7.0706059971178802E-3</v>
      </c>
      <c r="AK67" s="9">
        <f>(O67-MIN($O$2:$O$126))/(MAX($O$2:$O$126)-MIN($O$2:$O$126))</f>
        <v>0.3711641500243546</v>
      </c>
      <c r="AL67" s="9">
        <f>(S67-MIN($S$2:$S$126))/(MAX($S$2:$S$126)-MIN($S$2:$S$126))</f>
        <v>0.7877094972067038</v>
      </c>
      <c r="AM67" s="9">
        <f>(T67-MIN($T$2:$T$126))/(MAX($T$2:$T$126)-MIN($T$2:$T$126))</f>
        <v>0.89629843007345522</v>
      </c>
      <c r="AN67" s="9">
        <f>1-(AC67-MIN($AC$2:$AC$126))/(MAX($AC$2:$AC$126)-MIN($AC$2:$AC$126))</f>
        <v>0.76101357137983672</v>
      </c>
      <c r="AO67" s="9">
        <f>(AD67-MIN($AD$2:$AD$126))/(MAX($AD$2:$AD$126)-MIN($AD$2:$AD$126))</f>
        <v>0.23952095808383236</v>
      </c>
      <c r="AP67" s="9">
        <f>1-(AE67-MIN($AE$2:$AE$126))/(MAX($AE$2:$AE$126)-MIN($AE$2:$AE$126))</f>
        <v>0.49119999999999997</v>
      </c>
      <c r="AQ67" s="9">
        <f>(V67-MIN($V$2:$V$126))/(MAX($V$2:$V$126)-MIN($V$2:$V$126))</f>
        <v>0.4861111111111111</v>
      </c>
      <c r="AR67" s="9">
        <f>1-(Y67-MIN($Y$2:$Y$126))/(MAX($Y$2:$Y$126)-MIN($Y$2:$Y$126))</f>
        <v>0.98958333333333337</v>
      </c>
      <c r="AS67" s="9">
        <f>1-(AA67-MIN($AA$2:$AA$126))/(MAX($AA$2:$AA$126)-MIN($AA$2:$AA$126))</f>
        <v>0.84953508030431113</v>
      </c>
      <c r="AT67" s="9">
        <f>(K67-MIN($K$2:$K$126))/(MAX($K$2:$K$126)-MIN($K$2:$K$126))</f>
        <v>0.36363636363636365</v>
      </c>
      <c r="AU67" s="9">
        <f>(L67-MIN($L$2:$L$126))/(MAX($L$2:$L$126)-MIN($L$2:$L$126))</f>
        <v>8.8846364133406235E-3</v>
      </c>
      <c r="AV67" s="8">
        <f>(AI67*(Tablero!$B$5/100)+AJ67*(Tablero!$B$6/100))*(Tablero!$B$4/100)</f>
        <v>5.0707060599711785E-2</v>
      </c>
      <c r="AW67" s="8">
        <f>(AK67*(Tablero!$B$8/100))*(Tablero!$B$7/100)</f>
        <v>9.279103750608865E-2</v>
      </c>
      <c r="AX67" s="8">
        <f>(AL67*(Tablero!$B$10/100)+AM67*(Tablero!$B$11/100)+AN67*(Tablero!$B$12/100)+AO67*(Tablero!$B$13/100)+AP67*(Tablero!$B$14/100))*(Tablero!$B$9/100)</f>
        <v>0.12883878633781479</v>
      </c>
      <c r="AY67" s="8">
        <f>(AQ67*(Tablero!$B$16/100)+AR67*(Tablero!$B$17/100)+AS67*(Tablero!$B$18/100))*(Tablero!$B$15/100)</f>
        <v>0.19354740478538557</v>
      </c>
      <c r="AZ67" s="8">
        <f>(AT67*(Tablero!$B$20/100)+AU67*(Tablero!$B$21/100))*(Tablero!$B$19/100)</f>
        <v>9.3130250012426075E-3</v>
      </c>
    </row>
    <row r="68" spans="2:52" x14ac:dyDescent="0.4">
      <c r="B68" t="s">
        <v>169</v>
      </c>
      <c r="C68" t="s">
        <v>170</v>
      </c>
      <c r="D68" s="3">
        <v>38298</v>
      </c>
      <c r="E68" s="3">
        <v>385</v>
      </c>
      <c r="F68">
        <v>177</v>
      </c>
      <c r="G68">
        <v>28.1</v>
      </c>
      <c r="H68">
        <v>77.5</v>
      </c>
      <c r="I68">
        <v>54</v>
      </c>
      <c r="J68">
        <v>100</v>
      </c>
      <c r="K68">
        <v>0.26</v>
      </c>
      <c r="L68">
        <v>184</v>
      </c>
      <c r="M68">
        <v>4</v>
      </c>
      <c r="N68">
        <v>1326.7389048</v>
      </c>
      <c r="O68" s="3">
        <v>9.2799999999999994</v>
      </c>
      <c r="P68">
        <v>143</v>
      </c>
      <c r="Q68">
        <v>70.602597402597397</v>
      </c>
      <c r="R68">
        <v>52.47</v>
      </c>
      <c r="S68">
        <v>38.44</v>
      </c>
      <c r="T68">
        <v>34.81</v>
      </c>
      <c r="U68">
        <v>45.45</v>
      </c>
      <c r="V68" s="3">
        <v>110</v>
      </c>
      <c r="W68">
        <v>8</v>
      </c>
      <c r="X68">
        <v>6</v>
      </c>
      <c r="Y68">
        <v>2</v>
      </c>
      <c r="Z68">
        <v>0</v>
      </c>
      <c r="AA68" s="3">
        <v>20.9</v>
      </c>
      <c r="AC68">
        <v>52157.1</v>
      </c>
      <c r="AD68">
        <v>0.12</v>
      </c>
      <c r="AE68">
        <v>45.83</v>
      </c>
      <c r="AF68">
        <v>3.02</v>
      </c>
      <c r="AG68" s="10">
        <f>AV68+AW68+AX68+AY68+AZ68</f>
        <v>0.46715904396865315</v>
      </c>
      <c r="AH68" t="s">
        <v>48</v>
      </c>
      <c r="AI68" s="9">
        <f>(G68-MIN($G$2:$G$126))/(MAX($G$2:$G$126)-MIN($G$2:$G$126))</f>
        <v>0.50704225352112675</v>
      </c>
      <c r="AJ68" s="9">
        <f>(N68-MIN($N$2:$N$126))/(MAX($N$2:$N$126)-MIN($N$2:$N$126))</f>
        <v>2.7982600552523898E-2</v>
      </c>
      <c r="AK68" s="9">
        <f>(O68-MIN($O$2:$O$126))/(MAX($O$2:$O$126)-MIN($O$2:$O$126))</f>
        <v>0.45202143205065753</v>
      </c>
      <c r="AL68" s="9">
        <f>(S68-MIN($S$2:$S$126))/(MAX($S$2:$S$126)-MIN($S$2:$S$126))</f>
        <v>0.64967411545623832</v>
      </c>
      <c r="AM68" s="9">
        <f>(T68-MIN($T$2:$T$126))/(MAX($T$2:$T$126)-MIN($T$2:$T$126))</f>
        <v>0.22439867492438431</v>
      </c>
      <c r="AN68" s="9">
        <f>1-(AC68-MIN($AC$2:$AC$126))/(MAX($AC$2:$AC$126)-MIN($AC$2:$AC$126))</f>
        <v>0.62580690493720414</v>
      </c>
      <c r="AO68" s="9">
        <f>(AD68-MIN($AD$2:$AD$126))/(MAX($AD$2:$AD$126)-MIN($AD$2:$AD$126))</f>
        <v>7.1856287425149698E-2</v>
      </c>
      <c r="AP68" s="9">
        <f>1-(AE68-MIN($AE$2:$AE$126))/(MAX($AE$2:$AE$126)-MIN($AE$2:$AE$126))</f>
        <v>0.54170000000000007</v>
      </c>
      <c r="AQ68" s="9">
        <f>(V68-MIN($V$2:$V$126))/(MAX($V$2:$V$126)-MIN($V$2:$V$126))</f>
        <v>0.30555555555555558</v>
      </c>
      <c r="AR68" s="9">
        <f>1-(Y68-MIN($Y$2:$Y$126))/(MAX($Y$2:$Y$126)-MIN($Y$2:$Y$126))</f>
        <v>0.97916666666666663</v>
      </c>
      <c r="AS68" s="9">
        <f>1-(AA68-MIN($AA$2:$AA$126))/(MAX($AA$2:$AA$126)-MIN($AA$2:$AA$126))</f>
        <v>0.88334742180896031</v>
      </c>
      <c r="AT68" s="9">
        <f>(K68-MIN($K$2:$K$126))/(MAX($K$2:$K$126)-MIN($K$2:$K$126))</f>
        <v>0.63636363636363635</v>
      </c>
      <c r="AU68" s="9">
        <f>(L68-MIN($L$2:$L$126))/(MAX($L$2:$L$126)-MIN($L$2:$L$126))</f>
        <v>2.4330235101148168E-2</v>
      </c>
      <c r="AV68" s="8">
        <f>(AI68*(Tablero!$B$5/100)+AJ68*(Tablero!$B$6/100))*(Tablero!$B$4/100)</f>
        <v>7.8854598083421407E-2</v>
      </c>
      <c r="AW68" s="8">
        <f>(AK68*(Tablero!$B$8/100))*(Tablero!$B$7/100)</f>
        <v>0.11300535801266438</v>
      </c>
      <c r="AX68" s="8">
        <f>(AL68*(Tablero!$B$10/100)+AM68*(Tablero!$B$11/100)+AN68*(Tablero!$B$12/100)+AO68*(Tablero!$B$13/100)+AP68*(Tablero!$B$14/100))*(Tablero!$B$9/100)</f>
        <v>8.3746666651834917E-2</v>
      </c>
      <c r="AY68" s="8">
        <f>(AQ68*(Tablero!$B$16/100)+AR68*(Tablero!$B$17/100)+AS68*(Tablero!$B$18/100))*(Tablero!$B$15/100)</f>
        <v>0.17503507443411287</v>
      </c>
      <c r="AZ68" s="8">
        <f>(AT68*(Tablero!$B$20/100)+AU68*(Tablero!$B$21/100))*(Tablero!$B$19/100)</f>
        <v>1.6517346786619615E-2</v>
      </c>
    </row>
    <row r="69" spans="2:52" hidden="1" x14ac:dyDescent="0.4">
      <c r="B69" t="s">
        <v>175</v>
      </c>
      <c r="C69" t="s">
        <v>176</v>
      </c>
      <c r="D69" s="3">
        <v>16958</v>
      </c>
      <c r="E69" s="3">
        <v>154</v>
      </c>
      <c r="F69">
        <v>29</v>
      </c>
      <c r="G69">
        <v>25.2</v>
      </c>
      <c r="H69">
        <v>28.5</v>
      </c>
      <c r="I69">
        <v>81.2</v>
      </c>
      <c r="J69">
        <v>35</v>
      </c>
      <c r="K69">
        <v>0.23</v>
      </c>
      <c r="L69">
        <v>68</v>
      </c>
      <c r="M69">
        <v>0</v>
      </c>
      <c r="N69">
        <v>20.093178069999979</v>
      </c>
      <c r="O69" s="3">
        <v>1.55</v>
      </c>
      <c r="P69">
        <v>13</v>
      </c>
      <c r="Q69">
        <v>75.571428571428569</v>
      </c>
      <c r="R69">
        <v>45.45</v>
      </c>
      <c r="S69">
        <v>38.96</v>
      </c>
      <c r="T69">
        <v>56.49</v>
      </c>
      <c r="U69">
        <v>58.44</v>
      </c>
      <c r="V69" s="3">
        <v>140</v>
      </c>
      <c r="W69">
        <v>6</v>
      </c>
      <c r="X69">
        <v>6</v>
      </c>
      <c r="Y69">
        <v>0</v>
      </c>
      <c r="Z69">
        <v>0</v>
      </c>
      <c r="AA69" s="3">
        <v>35.4</v>
      </c>
      <c r="AC69">
        <v>52157.1</v>
      </c>
      <c r="AD69">
        <v>0.12</v>
      </c>
      <c r="AE69">
        <v>45.83</v>
      </c>
      <c r="AF69">
        <v>3.02</v>
      </c>
      <c r="AG69" s="10">
        <f>AV69+AW69+AX69+AY69+AZ69</f>
        <v>0.38424299512346055</v>
      </c>
      <c r="AH69" t="s">
        <v>48</v>
      </c>
      <c r="AI69" s="9">
        <f>(G69-MIN($G$2:$G$126))/(MAX($G$2:$G$126)-MIN($G$2:$G$126))</f>
        <v>0.43896713615023469</v>
      </c>
      <c r="AJ69" s="9">
        <f>(N69-MIN($N$2:$N$126))/(MAX($N$2:$N$126)-MIN($N$2:$N$126))</f>
        <v>4.2379052406569823E-4</v>
      </c>
      <c r="AK69" s="9">
        <f>(O69-MIN($O$2:$O$126))/(MAX($O$2:$O$126)-MIN($O$2:$O$126))</f>
        <v>7.5499269361909399E-2</v>
      </c>
      <c r="AL69" s="9">
        <f>(S69-MIN($S$2:$S$126))/(MAX($S$2:$S$126)-MIN($S$2:$S$126))</f>
        <v>0.66177839851024212</v>
      </c>
      <c r="AM69" s="9">
        <f>(T69-MIN($T$2:$T$126))/(MAX($T$2:$T$126)-MIN($T$2:$T$126))</f>
        <v>0.53665562436986902</v>
      </c>
      <c r="AN69" s="9">
        <f>1-(AC69-MIN($AC$2:$AC$126))/(MAX($AC$2:$AC$126)-MIN($AC$2:$AC$126))</f>
        <v>0.62580690493720414</v>
      </c>
      <c r="AO69" s="9">
        <f>(AD69-MIN($AD$2:$AD$126))/(MAX($AD$2:$AD$126)-MIN($AD$2:$AD$126))</f>
        <v>7.1856287425149698E-2</v>
      </c>
      <c r="AP69" s="9">
        <f>1-(AE69-MIN($AE$2:$AE$126))/(MAX($AE$2:$AE$126)-MIN($AE$2:$AE$126))</f>
        <v>0.54170000000000007</v>
      </c>
      <c r="AQ69" s="9">
        <f>(V69-MIN($V$2:$V$126))/(MAX($V$2:$V$126)-MIN($V$2:$V$126))</f>
        <v>0.3888888888888889</v>
      </c>
      <c r="AR69" s="9">
        <f>1-(Y69-MIN($Y$2:$Y$126))/(MAX($Y$2:$Y$126)-MIN($Y$2:$Y$126))</f>
        <v>1</v>
      </c>
      <c r="AS69" s="9">
        <f>1-(AA69-MIN($AA$2:$AA$126))/(MAX($AA$2:$AA$126)-MIN($AA$2:$AA$126))</f>
        <v>0.76077768385460698</v>
      </c>
      <c r="AT69" s="9">
        <f>(K69-MIN($K$2:$K$126))/(MAX($K$2:$K$126)-MIN($K$2:$K$126))</f>
        <v>0.54545454545454541</v>
      </c>
      <c r="AU69" s="9">
        <f>(L69-MIN($L$2:$L$126))/(MAX($L$2:$L$126)-MIN($L$2:$L$126))</f>
        <v>8.4745762711864406E-3</v>
      </c>
      <c r="AV69" s="8">
        <f>(AI69*(Tablero!$B$5/100)+AJ69*(Tablero!$B$6/100))*(Tablero!$B$4/100)</f>
        <v>6.5887449474941781E-2</v>
      </c>
      <c r="AW69" s="8">
        <f>(AK69*(Tablero!$B$8/100))*(Tablero!$B$7/100)</f>
        <v>1.887481734047735E-2</v>
      </c>
      <c r="AX69" s="8">
        <f>(AL69*(Tablero!$B$10/100)+AM69*(Tablero!$B$11/100)+AN69*(Tablero!$B$12/100)+AO69*(Tablero!$B$13/100)+AP69*(Tablero!$B$14/100))*(Tablero!$B$9/100)</f>
        <v>0.10272416927964408</v>
      </c>
      <c r="AY69" s="8">
        <f>(AQ69*(Tablero!$B$16/100)+AR69*(Tablero!$B$17/100)+AS69*(Tablero!$B$18/100))*(Tablero!$B$15/100)</f>
        <v>0.18290833098525405</v>
      </c>
      <c r="AZ69" s="8">
        <f>(AT69*(Tablero!$B$20/100)+AU69*(Tablero!$B$21/100))*(Tablero!$B$19/100)</f>
        <v>1.3848228043143297E-2</v>
      </c>
    </row>
    <row r="70" spans="2:52" x14ac:dyDescent="0.4">
      <c r="B70" t="s">
        <v>221</v>
      </c>
      <c r="C70" t="s">
        <v>222</v>
      </c>
      <c r="D70" s="3">
        <v>24566</v>
      </c>
      <c r="E70" s="3">
        <v>195</v>
      </c>
      <c r="F70">
        <v>43</v>
      </c>
      <c r="G70">
        <v>22.7</v>
      </c>
      <c r="H70">
        <v>30.1</v>
      </c>
      <c r="I70">
        <v>77.900000000000006</v>
      </c>
      <c r="J70">
        <v>33</v>
      </c>
      <c r="K70">
        <v>0.17</v>
      </c>
      <c r="L70">
        <v>89</v>
      </c>
      <c r="M70">
        <v>2</v>
      </c>
      <c r="N70">
        <v>207.20949504000001</v>
      </c>
      <c r="O70" s="3">
        <v>9.42</v>
      </c>
      <c r="P70">
        <v>22</v>
      </c>
      <c r="Q70">
        <v>72.712820512820514</v>
      </c>
      <c r="R70">
        <v>46.15</v>
      </c>
      <c r="S70">
        <v>15.9</v>
      </c>
      <c r="T70">
        <v>75.900000000000006</v>
      </c>
      <c r="U70">
        <v>72.31</v>
      </c>
      <c r="V70" s="3">
        <v>100</v>
      </c>
      <c r="W70">
        <v>7</v>
      </c>
      <c r="X70">
        <v>4</v>
      </c>
      <c r="Y70">
        <v>3</v>
      </c>
      <c r="Z70">
        <v>0</v>
      </c>
      <c r="AA70" s="3">
        <v>28.5</v>
      </c>
      <c r="AC70">
        <v>52157.1</v>
      </c>
      <c r="AD70">
        <v>0.12</v>
      </c>
      <c r="AE70">
        <v>45.83</v>
      </c>
      <c r="AF70">
        <v>3.02</v>
      </c>
      <c r="AG70" s="10">
        <f>AV70+AW70+AX70+AY70+AZ70</f>
        <v>0.4596754561314802</v>
      </c>
      <c r="AH70" t="s">
        <v>48</v>
      </c>
      <c r="AI70" s="9">
        <f>(G70-MIN($G$2:$G$126))/(MAX($G$2:$G$126)-MIN($G$2:$G$126))</f>
        <v>0.38028169014084506</v>
      </c>
      <c r="AJ70" s="9">
        <f>(N70-MIN($N$2:$N$126))/(MAX($N$2:$N$126)-MIN($N$2:$N$126))</f>
        <v>4.3703101713660564E-3</v>
      </c>
      <c r="AK70" s="9">
        <f>(O70-MIN($O$2:$O$126))/(MAX($O$2:$O$126)-MIN($O$2:$O$126))</f>
        <v>0.45884072089624939</v>
      </c>
      <c r="AL70" s="9">
        <f>(S70-MIN($S$2:$S$126))/(MAX($S$2:$S$126)-MIN($S$2:$S$126))</f>
        <v>0.12500000000000003</v>
      </c>
      <c r="AM70" s="9">
        <f>(T70-MIN($T$2:$T$126))/(MAX($T$2:$T$126)-MIN($T$2:$T$126))</f>
        <v>0.81621777329684586</v>
      </c>
      <c r="AN70" s="9">
        <f>1-(AC70-MIN($AC$2:$AC$126))/(MAX($AC$2:$AC$126)-MIN($AC$2:$AC$126))</f>
        <v>0.62580690493720414</v>
      </c>
      <c r="AO70" s="9">
        <f>(AD70-MIN($AD$2:$AD$126))/(MAX($AD$2:$AD$126)-MIN($AD$2:$AD$126))</f>
        <v>7.1856287425149698E-2</v>
      </c>
      <c r="AP70" s="9">
        <f>1-(AE70-MIN($AE$2:$AE$126))/(MAX($AE$2:$AE$126)-MIN($AE$2:$AE$126))</f>
        <v>0.54170000000000007</v>
      </c>
      <c r="AQ70" s="9">
        <f>(V70-MIN($V$2:$V$126))/(MAX($V$2:$V$126)-MIN($V$2:$V$126))</f>
        <v>0.27777777777777779</v>
      </c>
      <c r="AR70" s="9">
        <f>1-(Y70-MIN($Y$2:$Y$126))/(MAX($Y$2:$Y$126)-MIN($Y$2:$Y$126))</f>
        <v>0.96875</v>
      </c>
      <c r="AS70" s="9">
        <f>1-(AA70-MIN($AA$2:$AA$126))/(MAX($AA$2:$AA$126)-MIN($AA$2:$AA$126))</f>
        <v>0.81910397295012682</v>
      </c>
      <c r="AT70" s="9">
        <f>(K70-MIN($K$2:$K$126))/(MAX($K$2:$K$126)-MIN($K$2:$K$126))</f>
        <v>0.36363636363636365</v>
      </c>
      <c r="AU70" s="9">
        <f>(L70-MIN($L$2:$L$126))/(MAX($L$2:$L$126)-MIN($L$2:$L$126))</f>
        <v>1.1344997266265719E-2</v>
      </c>
      <c r="AV70" s="8">
        <f>(AI70*(Tablero!$B$5/100)+AJ70*(Tablero!$B$6/100))*(Tablero!$B$4/100)</f>
        <v>5.7479284538263363E-2</v>
      </c>
      <c r="AW70" s="8">
        <f>(AK70*(Tablero!$B$8/100))*(Tablero!$B$7/100)</f>
        <v>0.11471018022406235</v>
      </c>
      <c r="AX70" s="8">
        <f>(AL70*(Tablero!$B$10/100)+AM70*(Tablero!$B$11/100)+AN70*(Tablero!$B$12/100)+AO70*(Tablero!$B$13/100)+AP70*(Tablero!$B$14/100))*(Tablero!$B$9/100)</f>
        <v>0.10876233024505784</v>
      </c>
      <c r="AY70" s="8">
        <f>(AQ70*(Tablero!$B$16/100)+AR70*(Tablero!$B$17/100)+AS70*(Tablero!$B$18/100))*(Tablero!$B$15/100)</f>
        <v>0.16934912710153097</v>
      </c>
      <c r="AZ70" s="8">
        <f>(AT70*(Tablero!$B$20/100)+AU70*(Tablero!$B$21/100))*(Tablero!$B$19/100)</f>
        <v>9.3745340225657343E-3</v>
      </c>
    </row>
    <row r="71" spans="2:52" x14ac:dyDescent="0.4">
      <c r="B71" t="s">
        <v>227</v>
      </c>
      <c r="C71" t="s">
        <v>228</v>
      </c>
      <c r="D71" s="3">
        <v>21577</v>
      </c>
      <c r="E71" s="3">
        <v>166</v>
      </c>
      <c r="F71">
        <v>69</v>
      </c>
      <c r="G71">
        <v>21.3</v>
      </c>
      <c r="H71">
        <v>53.2</v>
      </c>
      <c r="I71">
        <v>58.4</v>
      </c>
      <c r="J71">
        <v>22</v>
      </c>
      <c r="K71">
        <v>0.13</v>
      </c>
      <c r="L71">
        <v>89</v>
      </c>
      <c r="M71">
        <v>2</v>
      </c>
      <c r="N71">
        <v>316.88081069999993</v>
      </c>
      <c r="O71" s="3">
        <v>7.73</v>
      </c>
      <c r="P71">
        <v>41</v>
      </c>
      <c r="Q71">
        <v>72.024096385542165</v>
      </c>
      <c r="R71">
        <v>55.42</v>
      </c>
      <c r="S71">
        <v>14.46</v>
      </c>
      <c r="T71">
        <v>79.52</v>
      </c>
      <c r="U71">
        <v>78.92</v>
      </c>
      <c r="V71" s="3">
        <v>170</v>
      </c>
      <c r="W71">
        <v>6</v>
      </c>
      <c r="X71">
        <v>5</v>
      </c>
      <c r="Y71">
        <v>1</v>
      </c>
      <c r="Z71">
        <v>0</v>
      </c>
      <c r="AA71" s="3">
        <v>27.8</v>
      </c>
      <c r="AC71">
        <v>52157.1</v>
      </c>
      <c r="AD71">
        <v>0.12</v>
      </c>
      <c r="AE71">
        <v>45.83</v>
      </c>
      <c r="AF71">
        <v>3.02</v>
      </c>
      <c r="AG71" s="10">
        <f>AV71+AW71+AX71+AY71+AZ71</f>
        <v>0.45602172648865241</v>
      </c>
      <c r="AH71" t="s">
        <v>48</v>
      </c>
      <c r="AI71" s="9">
        <f>(G71-MIN($G$2:$G$126))/(MAX($G$2:$G$126)-MIN($G$2:$G$126))</f>
        <v>0.34741784037558687</v>
      </c>
      <c r="AJ71" s="9">
        <f>(N71-MIN($N$2:$N$126))/(MAX($N$2:$N$126)-MIN($N$2:$N$126))</f>
        <v>6.6834168475030306E-3</v>
      </c>
      <c r="AK71" s="9">
        <f>(O71-MIN($O$2:$O$126))/(MAX($O$2:$O$126)-MIN($O$2:$O$126))</f>
        <v>0.37652216268874816</v>
      </c>
      <c r="AL71" s="9">
        <f>(S71-MIN($S$2:$S$126))/(MAX($S$2:$S$126)-MIN($S$2:$S$126))</f>
        <v>9.1480446927374337E-2</v>
      </c>
      <c r="AM71" s="9">
        <f>(T71-MIN($T$2:$T$126))/(MAX($T$2:$T$126)-MIN($T$2:$T$126))</f>
        <v>0.86835661817658072</v>
      </c>
      <c r="AN71" s="9">
        <f>1-(AC71-MIN($AC$2:$AC$126))/(MAX($AC$2:$AC$126)-MIN($AC$2:$AC$126))</f>
        <v>0.62580690493720414</v>
      </c>
      <c r="AO71" s="9">
        <f>(AD71-MIN($AD$2:$AD$126))/(MAX($AD$2:$AD$126)-MIN($AD$2:$AD$126))</f>
        <v>7.1856287425149698E-2</v>
      </c>
      <c r="AP71" s="9">
        <f>1-(AE71-MIN($AE$2:$AE$126))/(MAX($AE$2:$AE$126)-MIN($AE$2:$AE$126))</f>
        <v>0.54170000000000007</v>
      </c>
      <c r="AQ71" s="9">
        <f>(V71-MIN($V$2:$V$126))/(MAX($V$2:$V$126)-MIN($V$2:$V$126))</f>
        <v>0.47222222222222221</v>
      </c>
      <c r="AR71" s="9">
        <f>1-(Y71-MIN($Y$2:$Y$126))/(MAX($Y$2:$Y$126)-MIN($Y$2:$Y$126))</f>
        <v>0.98958333333333337</v>
      </c>
      <c r="AS71" s="9">
        <f>1-(AA71-MIN($AA$2:$AA$126))/(MAX($AA$2:$AA$126)-MIN($AA$2:$AA$126))</f>
        <v>0.82502113271344046</v>
      </c>
      <c r="AT71" s="9">
        <f>(K71-MIN($K$2:$K$126))/(MAX($K$2:$K$126)-MIN($K$2:$K$126))</f>
        <v>0.24242424242424243</v>
      </c>
      <c r="AU71" s="9">
        <f>(L71-MIN($L$2:$L$126))/(MAX($L$2:$L$126)-MIN($L$2:$L$126))</f>
        <v>1.1344997266265719E-2</v>
      </c>
      <c r="AV71" s="8">
        <f>(AI71*(Tablero!$B$5/100)+AJ71*(Tablero!$B$6/100))*(Tablero!$B$4/100)</f>
        <v>5.2781017741088329E-2</v>
      </c>
      <c r="AW71" s="8">
        <f>(AK71*(Tablero!$B$8/100))*(Tablero!$B$7/100)</f>
        <v>9.4130540672187041E-2</v>
      </c>
      <c r="AX71" s="8">
        <f>(AL71*(Tablero!$B$10/100)+AM71*(Tablero!$B$11/100)+AN71*(Tablero!$B$12/100)+AO71*(Tablero!$B$13/100)+AP71*(Tablero!$B$14/100))*(Tablero!$B$9/100)</f>
        <v>0.11122026987638943</v>
      </c>
      <c r="AY71" s="8">
        <f>(AQ71*(Tablero!$B$16/100)+AR71*(Tablero!$B$17/100)+AS71*(Tablero!$B$18/100))*(Tablero!$B$15/100)</f>
        <v>0.19154566720672492</v>
      </c>
      <c r="AZ71" s="8">
        <f>(AT71*(Tablero!$B$20/100)+AU71*(Tablero!$B$21/100))*(Tablero!$B$19/100)</f>
        <v>6.3442309922627036E-3</v>
      </c>
    </row>
    <row r="72" spans="2:52" x14ac:dyDescent="0.4">
      <c r="B72" t="s">
        <v>195</v>
      </c>
      <c r="C72" t="s">
        <v>196</v>
      </c>
      <c r="D72" s="3">
        <v>32752</v>
      </c>
      <c r="E72" s="3">
        <v>312</v>
      </c>
      <c r="F72">
        <v>128</v>
      </c>
      <c r="G72">
        <v>27.2</v>
      </c>
      <c r="H72">
        <v>67</v>
      </c>
      <c r="I72">
        <v>59</v>
      </c>
      <c r="J72">
        <v>71</v>
      </c>
      <c r="K72">
        <v>0.23</v>
      </c>
      <c r="L72">
        <v>132</v>
      </c>
      <c r="M72">
        <v>1</v>
      </c>
      <c r="N72">
        <v>469.44261547999992</v>
      </c>
      <c r="O72" s="3">
        <v>6.8</v>
      </c>
      <c r="P72">
        <v>69</v>
      </c>
      <c r="Q72">
        <v>70.564102564102569</v>
      </c>
      <c r="R72">
        <v>48.4</v>
      </c>
      <c r="S72">
        <v>38.78</v>
      </c>
      <c r="T72">
        <v>50.32</v>
      </c>
      <c r="U72">
        <v>58.65</v>
      </c>
      <c r="V72" s="3">
        <v>75</v>
      </c>
      <c r="W72">
        <v>9</v>
      </c>
      <c r="X72">
        <v>8</v>
      </c>
      <c r="Y72">
        <v>1</v>
      </c>
      <c r="Z72">
        <v>0</v>
      </c>
      <c r="AA72" s="3">
        <v>27.5</v>
      </c>
      <c r="AB72">
        <v>38</v>
      </c>
      <c r="AC72">
        <v>38245.07</v>
      </c>
      <c r="AD72">
        <v>0.97</v>
      </c>
      <c r="AE72">
        <v>34.21</v>
      </c>
      <c r="AF72">
        <v>7.1</v>
      </c>
      <c r="AG72" s="10">
        <f>AV72+AW72+AX72+AY72+AZ72</f>
        <v>0.45558764086211673</v>
      </c>
      <c r="AH72" t="s">
        <v>41</v>
      </c>
      <c r="AI72" s="9">
        <f>(G72-MIN($G$2:$G$126))/(MAX($G$2:$G$126)-MIN($G$2:$G$126))</f>
        <v>0.48591549295774644</v>
      </c>
      <c r="AJ72" s="9">
        <f>(N72-MIN($N$2:$N$126))/(MAX($N$2:$N$126)-MIN($N$2:$N$126))</f>
        <v>9.9011381544503192E-3</v>
      </c>
      <c r="AK72" s="9">
        <f>(O72-MIN($O$2:$O$126))/(MAX($O$2:$O$126)-MIN($O$2:$O$126))</f>
        <v>0.33122260107160251</v>
      </c>
      <c r="AL72" s="9">
        <f>(S72-MIN($S$2:$S$126))/(MAX($S$2:$S$126)-MIN($S$2:$S$126))</f>
        <v>0.65758845437616387</v>
      </c>
      <c r="AM72" s="9">
        <f>(T72-MIN($T$2:$T$126))/(MAX($T$2:$T$126)-MIN($T$2:$T$126))</f>
        <v>0.4477891401411494</v>
      </c>
      <c r="AN72" s="9">
        <f>1-(AC72-MIN($AC$2:$AC$126))/(MAX($AC$2:$AC$126)-MIN($AC$2:$AC$126))</f>
        <v>0.76747828141341123</v>
      </c>
      <c r="AO72" s="9">
        <f>(AD72-MIN($AD$2:$AD$126))/(MAX($AD$2:$AD$126)-MIN($AD$2:$AD$126))</f>
        <v>0.58083832335329344</v>
      </c>
      <c r="AP72" s="9">
        <f>1-(AE72-MIN($AE$2:$AE$126))/(MAX($AE$2:$AE$126)-MIN($AE$2:$AE$126))</f>
        <v>0.65789999999999993</v>
      </c>
      <c r="AQ72" s="9">
        <f>(V72-MIN($V$2:$V$126))/(MAX($V$2:$V$126)-MIN($V$2:$V$126))</f>
        <v>0.20833333333333334</v>
      </c>
      <c r="AR72" s="9">
        <f>1-(Y72-MIN($Y$2:$Y$126))/(MAX($Y$2:$Y$126)-MIN($Y$2:$Y$126))</f>
        <v>0.98958333333333337</v>
      </c>
      <c r="AS72" s="9">
        <f>1-(AA72-MIN($AA$2:$AA$126))/(MAX($AA$2:$AA$126)-MIN($AA$2:$AA$126))</f>
        <v>0.82755705832628912</v>
      </c>
      <c r="AT72" s="9">
        <f>(K72-MIN($K$2:$K$126))/(MAX($K$2:$K$126)-MIN($K$2:$K$126))</f>
        <v>0.54545454545454541</v>
      </c>
      <c r="AU72" s="9">
        <f>(L72-MIN($L$2:$L$126))/(MAX($L$2:$L$126)-MIN($L$2:$L$126))</f>
        <v>1.7222525970475671E-2</v>
      </c>
      <c r="AV72" s="8">
        <f>(AI72*(Tablero!$B$5/100)+AJ72*(Tablero!$B$6/100))*(Tablero!$B$4/100)</f>
        <v>7.387743775910699E-2</v>
      </c>
      <c r="AW72" s="8">
        <f>(AK72*(Tablero!$B$8/100))*(Tablero!$B$7/100)</f>
        <v>8.2805650267900627E-2</v>
      </c>
      <c r="AX72" s="8">
        <f>(AL72*(Tablero!$B$10/100)+AM72*(Tablero!$B$11/100)+AN72*(Tablero!$B$12/100)+AO72*(Tablero!$B$13/100)+AP72*(Tablero!$B$14/100))*(Tablero!$B$9/100)</f>
        <v>0.11961744959132635</v>
      </c>
      <c r="AY72" s="8">
        <f>(AQ72*(Tablero!$B$16/100)+AR72*(Tablero!$B$17/100)+AS72*(Tablero!$B$18/100))*(Tablero!$B$15/100)</f>
        <v>0.16522017645815723</v>
      </c>
      <c r="AZ72" s="8">
        <f>(AT72*(Tablero!$B$20/100)+AU72*(Tablero!$B$21/100))*(Tablero!$B$19/100)</f>
        <v>1.4066926785625529E-2</v>
      </c>
    </row>
    <row r="73" spans="2:52" hidden="1" x14ac:dyDescent="0.4">
      <c r="B73" t="s">
        <v>183</v>
      </c>
      <c r="C73" t="s">
        <v>184</v>
      </c>
      <c r="D73" s="3">
        <v>45161</v>
      </c>
      <c r="E73" s="3">
        <v>402</v>
      </c>
      <c r="F73">
        <v>119</v>
      </c>
      <c r="G73">
        <v>25.6</v>
      </c>
      <c r="H73">
        <v>45.4</v>
      </c>
      <c r="I73">
        <v>70.400000000000006</v>
      </c>
      <c r="J73">
        <v>70</v>
      </c>
      <c r="K73">
        <v>0.17</v>
      </c>
      <c r="L73">
        <v>218</v>
      </c>
      <c r="M73">
        <v>4</v>
      </c>
      <c r="N73">
        <v>523.77245559999983</v>
      </c>
      <c r="O73" s="3">
        <v>6.47</v>
      </c>
      <c r="P73">
        <v>81</v>
      </c>
      <c r="Q73">
        <v>71.644278606965173</v>
      </c>
      <c r="R73">
        <v>52.24</v>
      </c>
      <c r="S73">
        <v>18.41</v>
      </c>
      <c r="T73">
        <v>71.64</v>
      </c>
      <c r="U73">
        <v>66.42</v>
      </c>
      <c r="V73" s="3">
        <v>180</v>
      </c>
      <c r="W73">
        <v>9</v>
      </c>
      <c r="X73">
        <v>8</v>
      </c>
      <c r="Y73">
        <v>1</v>
      </c>
      <c r="Z73">
        <v>0</v>
      </c>
      <c r="AA73" s="3">
        <v>19.899999999999999</v>
      </c>
      <c r="AB73">
        <v>65</v>
      </c>
      <c r="AC73">
        <v>41753.269999999997</v>
      </c>
      <c r="AD73">
        <v>0.12</v>
      </c>
      <c r="AE73">
        <v>27.69</v>
      </c>
      <c r="AF73">
        <v>3.16</v>
      </c>
      <c r="AG73" s="10">
        <f>AV73+AW73+AX73+AY73+AZ73</f>
        <v>0.47583401702850492</v>
      </c>
      <c r="AH73" t="s">
        <v>41</v>
      </c>
      <c r="AI73" s="9">
        <f>(G73-MIN($G$2:$G$126))/(MAX($G$2:$G$126)-MIN($G$2:$G$126))</f>
        <v>0.44835680751173712</v>
      </c>
      <c r="AJ73" s="9">
        <f>(N73-MIN($N$2:$N$126))/(MAX($N$2:$N$126)-MIN($N$2:$N$126))</f>
        <v>1.1047023157641375E-2</v>
      </c>
      <c r="AK73" s="9">
        <f>(O73-MIN($O$2:$O$126))/(MAX($O$2:$O$126)-MIN($O$2:$O$126))</f>
        <v>0.31514856307842182</v>
      </c>
      <c r="AL73" s="9">
        <f>(S73-MIN($S$2:$S$126))/(MAX($S$2:$S$126)-MIN($S$2:$S$126))</f>
        <v>0.18342644320297952</v>
      </c>
      <c r="AM73" s="9">
        <f>(T73-MIN($T$2:$T$126))/(MAX($T$2:$T$126)-MIN($T$2:$T$126))</f>
        <v>0.75486101109030679</v>
      </c>
      <c r="AN73" s="9">
        <f>1-(AC73-MIN($AC$2:$AC$126))/(MAX($AC$2:$AC$126)-MIN($AC$2:$AC$126))</f>
        <v>0.73175297583587662</v>
      </c>
      <c r="AO73" s="9">
        <f>(AD73-MIN($AD$2:$AD$126))/(MAX($AD$2:$AD$126)-MIN($AD$2:$AD$126))</f>
        <v>7.1856287425149698E-2</v>
      </c>
      <c r="AP73" s="9">
        <f>1-(AE73-MIN($AE$2:$AE$126))/(MAX($AE$2:$AE$126)-MIN($AE$2:$AE$126))</f>
        <v>0.72309999999999997</v>
      </c>
      <c r="AQ73" s="9">
        <f>(V73-MIN($V$2:$V$126))/(MAX($V$2:$V$126)-MIN($V$2:$V$126))</f>
        <v>0.5</v>
      </c>
      <c r="AR73" s="9">
        <f>1-(Y73-MIN($Y$2:$Y$126))/(MAX($Y$2:$Y$126)-MIN($Y$2:$Y$126))</f>
        <v>0.98958333333333337</v>
      </c>
      <c r="AS73" s="9">
        <f>1-(AA73-MIN($AA$2:$AA$126))/(MAX($AA$2:$AA$126)-MIN($AA$2:$AA$126))</f>
        <v>0.8918005071851226</v>
      </c>
      <c r="AT73" s="9">
        <f>(K73-MIN($K$2:$K$126))/(MAX($K$2:$K$126)-MIN($K$2:$K$126))</f>
        <v>0.36363636363636365</v>
      </c>
      <c r="AU73" s="9">
        <f>(L73-MIN($L$2:$L$126))/(MAX($L$2:$L$126)-MIN($L$2:$L$126))</f>
        <v>2.8977583378895572E-2</v>
      </c>
      <c r="AV73" s="8">
        <f>(AI73*(Tablero!$B$5/100)+AJ73*(Tablero!$B$6/100))*(Tablero!$B$4/100)</f>
        <v>6.8358223442524707E-2</v>
      </c>
      <c r="AW73" s="8">
        <f>(AK73*(Tablero!$B$8/100))*(Tablero!$B$7/100)</f>
        <v>7.8787140769605454E-2</v>
      </c>
      <c r="AX73" s="8">
        <f>(AL73*(Tablero!$B$10/100)+AM73*(Tablero!$B$11/100)+AN73*(Tablero!$B$12/100)+AO73*(Tablero!$B$13/100)+AP73*(Tablero!$B$14/100))*(Tablero!$B$9/100)</f>
        <v>0.12288037479469854</v>
      </c>
      <c r="AY73" s="8">
        <f>(AQ73*(Tablero!$B$16/100)+AR73*(Tablero!$B$17/100)+AS73*(Tablero!$B$18/100))*(Tablero!$B$15/100)</f>
        <v>0.19599292934629475</v>
      </c>
      <c r="AZ73" s="8">
        <f>(AT73*(Tablero!$B$20/100)+AU73*(Tablero!$B$21/100))*(Tablero!$B$19/100)</f>
        <v>9.8153486753814814E-3</v>
      </c>
    </row>
    <row r="74" spans="2:52" hidden="1" x14ac:dyDescent="0.4">
      <c r="B74" t="s">
        <v>185</v>
      </c>
      <c r="C74" t="s">
        <v>186</v>
      </c>
      <c r="D74" s="3">
        <v>14544</v>
      </c>
      <c r="E74" s="3">
        <v>144</v>
      </c>
      <c r="F74">
        <v>46</v>
      </c>
      <c r="G74">
        <v>27.4</v>
      </c>
      <c r="H74">
        <v>52.4</v>
      </c>
      <c r="I74">
        <v>68.099999999999994</v>
      </c>
      <c r="J74">
        <v>32</v>
      </c>
      <c r="K74">
        <v>0.22</v>
      </c>
      <c r="L74">
        <v>74</v>
      </c>
      <c r="M74">
        <v>1</v>
      </c>
      <c r="N74">
        <v>99.074626189999961</v>
      </c>
      <c r="O74" s="3">
        <v>2.91</v>
      </c>
      <c r="P74">
        <v>34</v>
      </c>
      <c r="Q74">
        <v>75.159722222222229</v>
      </c>
      <c r="R74">
        <v>52.08</v>
      </c>
      <c r="S74">
        <v>45.83</v>
      </c>
      <c r="T74">
        <v>56.25</v>
      </c>
      <c r="U74">
        <v>40.97</v>
      </c>
      <c r="V74" s="3">
        <v>250</v>
      </c>
      <c r="W74">
        <v>7</v>
      </c>
      <c r="X74">
        <v>6</v>
      </c>
      <c r="Y74">
        <v>1</v>
      </c>
      <c r="Z74">
        <v>0</v>
      </c>
      <c r="AA74" s="3">
        <v>48.1</v>
      </c>
      <c r="AC74">
        <v>52157.1</v>
      </c>
      <c r="AD74">
        <v>0.12</v>
      </c>
      <c r="AE74">
        <v>45.83</v>
      </c>
      <c r="AF74">
        <v>3.02</v>
      </c>
      <c r="AG74" s="10">
        <f>AV74+AW74+AX74+AY74+AZ74</f>
        <v>0.43754065165524758</v>
      </c>
      <c r="AH74" t="s">
        <v>48</v>
      </c>
      <c r="AI74" s="9">
        <f>(G74-MIN($G$2:$G$126))/(MAX($G$2:$G$126)-MIN($G$2:$G$126))</f>
        <v>0.49061032863849763</v>
      </c>
      <c r="AJ74" s="9">
        <f>(N74-MIN($N$2:$N$126))/(MAX($N$2:$N$126)-MIN($N$2:$N$126))</f>
        <v>2.0896091005813337E-3</v>
      </c>
      <c r="AK74" s="9">
        <f>(O74-MIN($O$2:$O$126))/(MAX($O$2:$O$126)-MIN($O$2:$O$126))</f>
        <v>0.14174378957622991</v>
      </c>
      <c r="AL74" s="9">
        <f>(S74-MIN($S$2:$S$126))/(MAX($S$2:$S$126)-MIN($S$2:$S$126))</f>
        <v>0.82169459962756042</v>
      </c>
      <c r="AM74" s="9">
        <f>(T74-MIN($T$2:$T$126))/(MAX($T$2:$T$126)-MIN($T$2:$T$126))</f>
        <v>0.5331989053723174</v>
      </c>
      <c r="AN74" s="9">
        <f>1-(AC74-MIN($AC$2:$AC$126))/(MAX($AC$2:$AC$126)-MIN($AC$2:$AC$126))</f>
        <v>0.62580690493720414</v>
      </c>
      <c r="AO74" s="9">
        <f>(AD74-MIN($AD$2:$AD$126))/(MAX($AD$2:$AD$126)-MIN($AD$2:$AD$126))</f>
        <v>7.1856287425149698E-2</v>
      </c>
      <c r="AP74" s="9">
        <f>1-(AE74-MIN($AE$2:$AE$126))/(MAX($AE$2:$AE$126)-MIN($AE$2:$AE$126))</f>
        <v>0.54170000000000007</v>
      </c>
      <c r="AQ74" s="9">
        <f>(V74-MIN($V$2:$V$126))/(MAX($V$2:$V$126)-MIN($V$2:$V$126))</f>
        <v>0.69444444444444442</v>
      </c>
      <c r="AR74" s="9">
        <f>1-(Y74-MIN($Y$2:$Y$126))/(MAX($Y$2:$Y$126)-MIN($Y$2:$Y$126))</f>
        <v>0.98958333333333337</v>
      </c>
      <c r="AS74" s="9">
        <f>1-(AA74-MIN($AA$2:$AA$126))/(MAX($AA$2:$AA$126)-MIN($AA$2:$AA$126))</f>
        <v>0.6534234995773458</v>
      </c>
      <c r="AT74" s="9">
        <f>(K74-MIN($K$2:$K$126))/(MAX($K$2:$K$126)-MIN($K$2:$K$126))</f>
        <v>0.51515151515151503</v>
      </c>
      <c r="AU74" s="9">
        <f>(L74-MIN($L$2:$L$126))/(MAX($L$2:$L$126)-MIN($L$2:$L$126))</f>
        <v>9.2946965554948063E-3</v>
      </c>
      <c r="AV74" s="8">
        <f>(AI74*(Tablero!$B$5/100)+AJ74*(Tablero!$B$6/100))*(Tablero!$B$4/100)</f>
        <v>7.3800510205832781E-2</v>
      </c>
      <c r="AW74" s="8">
        <f>(AK74*(Tablero!$B$8/100))*(Tablero!$B$7/100)</f>
        <v>3.5435947394057477E-2</v>
      </c>
      <c r="AX74" s="8">
        <f>(AL74*(Tablero!$B$10/100)+AM74*(Tablero!$B$11/100)+AN74*(Tablero!$B$12/100)+AO74*(Tablero!$B$13/100)+AP74*(Tablero!$B$14/100))*(Tablero!$B$9/100)</f>
        <v>0.10571509016213734</v>
      </c>
      <c r="AY74" s="8">
        <f>(AQ74*(Tablero!$B$16/100)+AR74*(Tablero!$B$17/100)+AS74*(Tablero!$B$18/100))*(Tablero!$B$15/100)</f>
        <v>0.20947794860054475</v>
      </c>
      <c r="AZ74" s="8">
        <f>(AT74*(Tablero!$B$20/100)+AU74*(Tablero!$B$21/100))*(Tablero!$B$19/100)</f>
        <v>1.3111155292675244E-2</v>
      </c>
    </row>
    <row r="75" spans="2:52" hidden="1" x14ac:dyDescent="0.4">
      <c r="B75" t="s">
        <v>187</v>
      </c>
      <c r="C75" t="s">
        <v>188</v>
      </c>
      <c r="D75" s="3">
        <v>181443</v>
      </c>
      <c r="E75" s="3">
        <v>1350</v>
      </c>
      <c r="F75">
        <v>480</v>
      </c>
      <c r="G75">
        <v>21</v>
      </c>
      <c r="H75">
        <v>44.8</v>
      </c>
      <c r="I75">
        <v>64.400000000000006</v>
      </c>
      <c r="J75">
        <v>259</v>
      </c>
      <c r="K75">
        <v>0.19</v>
      </c>
      <c r="L75">
        <v>620</v>
      </c>
      <c r="M75">
        <v>5</v>
      </c>
      <c r="N75">
        <v>3473.1459085699989</v>
      </c>
      <c r="O75" s="3">
        <v>9.26</v>
      </c>
      <c r="P75">
        <v>375</v>
      </c>
      <c r="Q75">
        <v>69.683703703703699</v>
      </c>
      <c r="R75">
        <v>52.89</v>
      </c>
      <c r="S75">
        <v>33.85</v>
      </c>
      <c r="T75">
        <v>34.74</v>
      </c>
      <c r="U75">
        <v>46.3</v>
      </c>
      <c r="V75" s="3">
        <v>195</v>
      </c>
      <c r="W75">
        <v>30</v>
      </c>
      <c r="X75">
        <v>25</v>
      </c>
      <c r="Y75">
        <v>5</v>
      </c>
      <c r="Z75">
        <v>0</v>
      </c>
      <c r="AA75" s="3">
        <v>16.5</v>
      </c>
      <c r="AB75">
        <v>149</v>
      </c>
      <c r="AC75">
        <v>55876.43</v>
      </c>
      <c r="AD75">
        <v>0.17</v>
      </c>
      <c r="AE75">
        <v>47.65</v>
      </c>
      <c r="AF75">
        <v>2.92</v>
      </c>
      <c r="AG75" s="10">
        <f>AV75+AW75+AX75+AY75+AZ75</f>
        <v>0.4594520288926347</v>
      </c>
      <c r="AH75" t="s">
        <v>41</v>
      </c>
      <c r="AI75" s="9">
        <f>(G75-MIN($G$2:$G$126))/(MAX($G$2:$G$126)-MIN($G$2:$G$126))</f>
        <v>0.34037558685446007</v>
      </c>
      <c r="AJ75" s="9">
        <f>(N75-MIN($N$2:$N$126))/(MAX($N$2:$N$126)-MIN($N$2:$N$126))</f>
        <v>7.3253037405123483E-2</v>
      </c>
      <c r="AK75" s="9">
        <f>(O75-MIN($O$2:$O$126))/(MAX($O$2:$O$126)-MIN($O$2:$O$126))</f>
        <v>0.45104724792985873</v>
      </c>
      <c r="AL75" s="9">
        <f>(S75-MIN($S$2:$S$126))/(MAX($S$2:$S$126)-MIN($S$2:$S$126))</f>
        <v>0.54283054003724396</v>
      </c>
      <c r="AM75" s="9">
        <f>(T75-MIN($T$2:$T$126))/(MAX($T$2:$T$126)-MIN($T$2:$T$126))</f>
        <v>0.22339046521676514</v>
      </c>
      <c r="AN75" s="9">
        <f>1-(AC75-MIN($AC$2:$AC$126))/(MAX($AC$2:$AC$126)-MIN($AC$2:$AC$126))</f>
        <v>0.58793158403369472</v>
      </c>
      <c r="AO75" s="9">
        <f>(AD75-MIN($AD$2:$AD$126))/(MAX($AD$2:$AD$126)-MIN($AD$2:$AD$126))</f>
        <v>0.10179640718562875</v>
      </c>
      <c r="AP75" s="9">
        <f>1-(AE75-MIN($AE$2:$AE$126))/(MAX($AE$2:$AE$126)-MIN($AE$2:$AE$126))</f>
        <v>0.52350000000000008</v>
      </c>
      <c r="AQ75" s="9">
        <f>(V75-MIN($V$2:$V$126))/(MAX($V$2:$V$126)-MIN($V$2:$V$126))</f>
        <v>0.54166666666666663</v>
      </c>
      <c r="AR75" s="9">
        <f>1-(Y75-MIN($Y$2:$Y$126))/(MAX($Y$2:$Y$126)-MIN($Y$2:$Y$126))</f>
        <v>0.94791666666666663</v>
      </c>
      <c r="AS75" s="9">
        <f>1-(AA75-MIN($AA$2:$AA$126))/(MAX($AA$2:$AA$126)-MIN($AA$2:$AA$126))</f>
        <v>0.92054099746407436</v>
      </c>
      <c r="AT75" s="9">
        <f>(K75-MIN($K$2:$K$126))/(MAX($K$2:$K$126)-MIN($K$2:$K$126))</f>
        <v>0.42424242424242425</v>
      </c>
      <c r="AU75" s="9">
        <f>(L75-MIN($L$2:$L$126))/(MAX($L$2:$L$126)-MIN($L$2:$L$126))</f>
        <v>8.3925642427556041E-2</v>
      </c>
      <c r="AV75" s="8">
        <f>(AI75*(Tablero!$B$5/100)+AJ75*(Tablero!$B$6/100))*(Tablero!$B$4/100)</f>
        <v>5.838164176868136E-2</v>
      </c>
      <c r="AW75" s="8">
        <f>(AK75*(Tablero!$B$8/100))*(Tablero!$B$7/100)</f>
        <v>0.11276181198246468</v>
      </c>
      <c r="AX75" s="8">
        <f>(AL75*(Tablero!$B$10/100)+AM75*(Tablero!$B$11/100)+AN75*(Tablero!$B$12/100)+AO75*(Tablero!$B$13/100)+AP75*(Tablero!$B$14/100))*(Tablero!$B$9/100)</f>
        <v>7.9934598538137266E-2</v>
      </c>
      <c r="AY75" s="8">
        <f>(AQ75*(Tablero!$B$16/100)+AR75*(Tablero!$B$17/100)+AS75*(Tablero!$B$18/100))*(Tablero!$B$15/100)</f>
        <v>0.19566977493660187</v>
      </c>
      <c r="AZ75" s="8">
        <f>(AT75*(Tablero!$B$20/100)+AU75*(Tablero!$B$21/100))*(Tablero!$B$19/100)</f>
        <v>1.2704201666749508E-2</v>
      </c>
    </row>
    <row r="76" spans="2:52" hidden="1" x14ac:dyDescent="0.4">
      <c r="B76" t="s">
        <v>189</v>
      </c>
      <c r="C76" t="s">
        <v>190</v>
      </c>
      <c r="D76" s="3">
        <v>60218</v>
      </c>
      <c r="E76" s="3">
        <v>717</v>
      </c>
      <c r="F76">
        <v>181</v>
      </c>
      <c r="G76">
        <v>32.799999999999997</v>
      </c>
      <c r="H76">
        <v>49.6</v>
      </c>
      <c r="I76">
        <v>74.8</v>
      </c>
      <c r="J76">
        <v>100</v>
      </c>
      <c r="K76">
        <v>0.14000000000000001</v>
      </c>
      <c r="L76">
        <v>390</v>
      </c>
      <c r="M76">
        <v>8</v>
      </c>
      <c r="N76">
        <v>890.52027336999981</v>
      </c>
      <c r="O76" s="3">
        <v>6.8</v>
      </c>
      <c r="P76">
        <v>131</v>
      </c>
      <c r="Q76">
        <v>72.419804741980471</v>
      </c>
      <c r="R76">
        <v>49.79</v>
      </c>
      <c r="S76">
        <v>39.47</v>
      </c>
      <c r="T76">
        <v>34.590000000000003</v>
      </c>
      <c r="U76">
        <v>48.4</v>
      </c>
      <c r="V76" s="3">
        <v>80</v>
      </c>
      <c r="W76">
        <v>18</v>
      </c>
      <c r="X76">
        <v>16</v>
      </c>
      <c r="Y76">
        <v>2</v>
      </c>
      <c r="Z76">
        <v>0</v>
      </c>
      <c r="AA76" s="3">
        <v>29.9</v>
      </c>
      <c r="AB76">
        <v>178</v>
      </c>
      <c r="AC76">
        <v>49859.12</v>
      </c>
      <c r="AD76">
        <v>0.17</v>
      </c>
      <c r="AE76">
        <v>47.19</v>
      </c>
      <c r="AF76">
        <v>3.68</v>
      </c>
      <c r="AG76" s="10">
        <f>AV76+AW76+AX76+AY76+AZ76</f>
        <v>0.43423456409042077</v>
      </c>
      <c r="AH76" t="s">
        <v>41</v>
      </c>
      <c r="AI76" s="9">
        <f>(G76-MIN($G$2:$G$126))/(MAX($G$2:$G$126)-MIN($G$2:$G$126))</f>
        <v>0.61737089201877926</v>
      </c>
      <c r="AJ76" s="9">
        <f>(N76-MIN($N$2:$N$126))/(MAX($N$2:$N$126)-MIN($N$2:$N$126))</f>
        <v>1.8782198218114009E-2</v>
      </c>
      <c r="AK76" s="9">
        <f>(O76-MIN($O$2:$O$126))/(MAX($O$2:$O$126)-MIN($O$2:$O$126))</f>
        <v>0.33122260107160251</v>
      </c>
      <c r="AL76" s="9">
        <f>(S76-MIN($S$2:$S$126))/(MAX($S$2:$S$126)-MIN($S$2:$S$126))</f>
        <v>0.67364990689013027</v>
      </c>
      <c r="AM76" s="9">
        <f>(T76-MIN($T$2:$T$126))/(MAX($T$2:$T$126)-MIN($T$2:$T$126))</f>
        <v>0.22123001584329546</v>
      </c>
      <c r="AN76" s="9">
        <f>1-(AC76-MIN($AC$2:$AC$126))/(MAX($AC$2:$AC$126)-MIN($AC$2:$AC$126))</f>
        <v>0.64920809007803504</v>
      </c>
      <c r="AO76" s="9">
        <f>(AD76-MIN($AD$2:$AD$126))/(MAX($AD$2:$AD$126)-MIN($AD$2:$AD$126))</f>
        <v>0.10179640718562875</v>
      </c>
      <c r="AP76" s="9">
        <f>1-(AE76-MIN($AE$2:$AE$126))/(MAX($AE$2:$AE$126)-MIN($AE$2:$AE$126))</f>
        <v>0.52810000000000001</v>
      </c>
      <c r="AQ76" s="9">
        <f>(V76-MIN($V$2:$V$126))/(MAX($V$2:$V$126)-MIN($V$2:$V$126))</f>
        <v>0.22222222222222221</v>
      </c>
      <c r="AR76" s="9">
        <f>1-(Y76-MIN($Y$2:$Y$126))/(MAX($Y$2:$Y$126)-MIN($Y$2:$Y$126))</f>
        <v>0.97916666666666663</v>
      </c>
      <c r="AS76" s="9">
        <f>1-(AA76-MIN($AA$2:$AA$126))/(MAX($AA$2:$AA$126)-MIN($AA$2:$AA$126))</f>
        <v>0.80726965342349966</v>
      </c>
      <c r="AT76" s="9">
        <f>(K76-MIN($K$2:$K$126))/(MAX($K$2:$K$126)-MIN($K$2:$K$126))</f>
        <v>0.27272727272727276</v>
      </c>
      <c r="AU76" s="9">
        <f>(L76-MIN($L$2:$L$126))/(MAX($L$2:$L$126)-MIN($L$2:$L$126))</f>
        <v>5.2487698195735372E-2</v>
      </c>
      <c r="AV76" s="8">
        <f>(AI76*(Tablero!$B$5/100)+AJ76*(Tablero!$B$6/100))*(Tablero!$B$4/100)</f>
        <v>9.4483853624628286E-2</v>
      </c>
      <c r="AW76" s="8">
        <f>(AK76*(Tablero!$B$8/100))*(Tablero!$B$7/100)</f>
        <v>8.2805650267900627E-2</v>
      </c>
      <c r="AX76" s="8">
        <f>(AL76*(Tablero!$B$10/100)+AM76*(Tablero!$B$11/100)+AN76*(Tablero!$B$12/100)+AO76*(Tablero!$B$13/100)+AP76*(Tablero!$B$14/100))*(Tablero!$B$9/100)</f>
        <v>8.4014889033673601E-2</v>
      </c>
      <c r="AY76" s="8">
        <f>(AQ76*(Tablero!$B$16/100)+AR76*(Tablero!$B$17/100)+AS76*(Tablero!$B$18/100))*(Tablero!$B$15/100)</f>
        <v>0.16479979689114305</v>
      </c>
      <c r="AZ76" s="8">
        <f>(AT76*(Tablero!$B$20/100)+AU76*(Tablero!$B$21/100))*(Tablero!$B$19/100)</f>
        <v>8.1303742730752023E-3</v>
      </c>
    </row>
    <row r="77" spans="2:52" hidden="1" x14ac:dyDescent="0.4">
      <c r="B77" t="s">
        <v>191</v>
      </c>
      <c r="C77" t="s">
        <v>192</v>
      </c>
      <c r="D77" s="3">
        <v>124917</v>
      </c>
      <c r="E77" s="3">
        <v>1125</v>
      </c>
      <c r="F77">
        <v>422</v>
      </c>
      <c r="G77">
        <v>25.8</v>
      </c>
      <c r="H77">
        <v>58.2</v>
      </c>
      <c r="I77">
        <v>62.5</v>
      </c>
      <c r="J77">
        <v>299</v>
      </c>
      <c r="K77">
        <v>0.27</v>
      </c>
      <c r="L77">
        <v>521</v>
      </c>
      <c r="M77">
        <v>4</v>
      </c>
      <c r="N77">
        <v>5419.8117793899992</v>
      </c>
      <c r="O77" s="3">
        <v>9.68</v>
      </c>
      <c r="P77">
        <v>560</v>
      </c>
      <c r="Q77">
        <v>70.561777777777777</v>
      </c>
      <c r="R77">
        <v>49.96</v>
      </c>
      <c r="S77">
        <v>30.4</v>
      </c>
      <c r="T77">
        <v>28.09</v>
      </c>
      <c r="U77">
        <v>37.07</v>
      </c>
      <c r="V77" s="3">
        <v>140</v>
      </c>
      <c r="W77">
        <v>28</v>
      </c>
      <c r="X77">
        <v>18</v>
      </c>
      <c r="Y77">
        <v>10</v>
      </c>
      <c r="Z77">
        <v>0</v>
      </c>
      <c r="AA77" s="3">
        <v>22.4</v>
      </c>
      <c r="AB77">
        <v>271</v>
      </c>
      <c r="AC77">
        <v>66445.67</v>
      </c>
      <c r="AD77">
        <v>0.05</v>
      </c>
      <c r="AE77">
        <v>68.27</v>
      </c>
      <c r="AF77">
        <v>1.84</v>
      </c>
      <c r="AG77" s="10">
        <f>AV77+AW77+AX77+AY77+AZ77</f>
        <v>0.44082227388875067</v>
      </c>
      <c r="AH77" t="s">
        <v>41</v>
      </c>
      <c r="AI77" s="9">
        <f>(G77-MIN($G$2:$G$126))/(MAX($G$2:$G$126)-MIN($G$2:$G$126))</f>
        <v>0.45305164319248825</v>
      </c>
      <c r="AJ77" s="9">
        <f>(N77-MIN($N$2:$N$126))/(MAX($N$2:$N$126)-MIN($N$2:$N$126))</f>
        <v>0.11431068128313933</v>
      </c>
      <c r="AK77" s="9">
        <f>(O77-MIN($O$2:$O$126))/(MAX($O$2:$O$126)-MIN($O$2:$O$126))</f>
        <v>0.47150511446663418</v>
      </c>
      <c r="AL77" s="9">
        <f>(S77-MIN($S$2:$S$126))/(MAX($S$2:$S$126)-MIN($S$2:$S$126))</f>
        <v>0.46252327746741145</v>
      </c>
      <c r="AM77" s="9">
        <f>(T77-MIN($T$2:$T$126))/(MAX($T$2:$T$126)-MIN($T$2:$T$126))</f>
        <v>0.12761054299294253</v>
      </c>
      <c r="AN77" s="9">
        <f>1-(AC77-MIN($AC$2:$AC$126))/(MAX($AC$2:$AC$126)-MIN($AC$2:$AC$126))</f>
        <v>0.48030108157593787</v>
      </c>
      <c r="AO77" s="9">
        <f>(AD77-MIN($AD$2:$AD$126))/(MAX($AD$2:$AD$126)-MIN($AD$2:$AD$126))</f>
        <v>2.9940119760479045E-2</v>
      </c>
      <c r="AP77" s="9">
        <f>1-(AE77-MIN($AE$2:$AE$126))/(MAX($AE$2:$AE$126)-MIN($AE$2:$AE$126))</f>
        <v>0.31730000000000003</v>
      </c>
      <c r="AQ77" s="9">
        <f>(V77-MIN($V$2:$V$126))/(MAX($V$2:$V$126)-MIN($V$2:$V$126))</f>
        <v>0.3888888888888889</v>
      </c>
      <c r="AR77" s="9">
        <f>1-(Y77-MIN($Y$2:$Y$126))/(MAX($Y$2:$Y$126)-MIN($Y$2:$Y$126))</f>
        <v>0.89583333333333337</v>
      </c>
      <c r="AS77" s="9">
        <f>1-(AA77-MIN($AA$2:$AA$126))/(MAX($AA$2:$AA$126)-MIN($AA$2:$AA$126))</f>
        <v>0.87066779374471681</v>
      </c>
      <c r="AT77" s="9">
        <f>(K77-MIN($K$2:$K$126))/(MAX($K$2:$K$126)-MIN($K$2:$K$126))</f>
        <v>0.66666666666666674</v>
      </c>
      <c r="AU77" s="9">
        <f>(L77-MIN($L$2:$L$126))/(MAX($L$2:$L$126)-MIN($L$2:$L$126))</f>
        <v>7.039365773646801E-2</v>
      </c>
      <c r="AV77" s="8">
        <f>(AI77*(Tablero!$B$5/100)+AJ77*(Tablero!$B$6/100))*(Tablero!$B$4/100)</f>
        <v>7.9388814607187164E-2</v>
      </c>
      <c r="AW77" s="8">
        <f>(AK77*(Tablero!$B$8/100))*(Tablero!$B$7/100)</f>
        <v>0.11787627861665854</v>
      </c>
      <c r="AX77" s="8">
        <f>(AL77*(Tablero!$B$10/100)+AM77*(Tablero!$B$11/100)+AN77*(Tablero!$B$12/100)+AO77*(Tablero!$B$13/100)+AP77*(Tablero!$B$14/100))*(Tablero!$B$9/100)</f>
        <v>5.2495922155653123E-2</v>
      </c>
      <c r="AY77" s="8">
        <f>(AQ77*(Tablero!$B$16/100)+AR77*(Tablero!$B$17/100)+AS77*(Tablero!$B$18/100))*(Tablero!$B$15/100)</f>
        <v>0.17263475039917348</v>
      </c>
      <c r="AZ77" s="8">
        <f>(AT77*(Tablero!$B$20/100)+AU77*(Tablero!$B$21/100))*(Tablero!$B$19/100)</f>
        <v>1.8426508110078368E-2</v>
      </c>
    </row>
    <row r="78" spans="2:52" x14ac:dyDescent="0.4">
      <c r="B78" t="s">
        <v>153</v>
      </c>
      <c r="C78" t="s">
        <v>154</v>
      </c>
      <c r="D78" s="3">
        <v>37031</v>
      </c>
      <c r="E78" s="3">
        <v>506</v>
      </c>
      <c r="F78">
        <v>213</v>
      </c>
      <c r="G78">
        <v>36.9</v>
      </c>
      <c r="H78">
        <v>93.2</v>
      </c>
      <c r="I78">
        <v>57.9</v>
      </c>
      <c r="J78">
        <v>128</v>
      </c>
      <c r="K78">
        <v>0.25</v>
      </c>
      <c r="L78">
        <v>263</v>
      </c>
      <c r="M78">
        <v>4</v>
      </c>
      <c r="N78">
        <v>813.87982443999977</v>
      </c>
      <c r="O78" s="3">
        <v>6.62</v>
      </c>
      <c r="P78">
        <v>123</v>
      </c>
      <c r="Q78">
        <v>72.233663366336629</v>
      </c>
      <c r="R78">
        <v>47.43</v>
      </c>
      <c r="S78">
        <v>35.770000000000003</v>
      </c>
      <c r="T78">
        <v>27.67</v>
      </c>
      <c r="U78">
        <v>39.92</v>
      </c>
      <c r="V78" s="3">
        <v>195</v>
      </c>
      <c r="W78">
        <v>11</v>
      </c>
      <c r="X78">
        <v>9</v>
      </c>
      <c r="Y78">
        <v>2</v>
      </c>
      <c r="Z78">
        <v>0</v>
      </c>
      <c r="AA78" s="3">
        <v>29.7</v>
      </c>
      <c r="AB78">
        <v>64</v>
      </c>
      <c r="AC78">
        <v>67170.070000000007</v>
      </c>
      <c r="AD78">
        <v>0.06</v>
      </c>
      <c r="AE78">
        <v>71.88</v>
      </c>
      <c r="AF78">
        <v>2.02</v>
      </c>
      <c r="AG78" s="10">
        <f>AV78+AW78+AX78+AY78+AZ78</f>
        <v>0.45390598944307381</v>
      </c>
      <c r="AH78" t="s">
        <v>41</v>
      </c>
      <c r="AI78" s="9">
        <f>(G78-MIN($G$2:$G$126))/(MAX($G$2:$G$126)-MIN($G$2:$G$126))</f>
        <v>0.71361502347417838</v>
      </c>
      <c r="AJ78" s="9">
        <f>(N78-MIN($N$2:$N$126))/(MAX($N$2:$N$126)-MIN($N$2:$N$126))</f>
        <v>1.7165754273630759E-2</v>
      </c>
      <c r="AK78" s="9">
        <f>(O78-MIN($O$2:$O$126))/(MAX($O$2:$O$126)-MIN($O$2:$O$126))</f>
        <v>0.32245494398441304</v>
      </c>
      <c r="AL78" s="9">
        <f>(S78-MIN($S$2:$S$126))/(MAX($S$2:$S$126)-MIN($S$2:$S$126))</f>
        <v>0.58752327746741162</v>
      </c>
      <c r="AM78" s="9">
        <f>(T78-MIN($T$2:$T$126))/(MAX($T$2:$T$126)-MIN($T$2:$T$126))</f>
        <v>0.12156128474722745</v>
      </c>
      <c r="AN78" s="9">
        <f>1-(AC78-MIN($AC$2:$AC$126))/(MAX($AC$2:$AC$126)-MIN($AC$2:$AC$126))</f>
        <v>0.47292424691418355</v>
      </c>
      <c r="AO78" s="9">
        <f>(AD78-MIN($AD$2:$AD$126))/(MAX($AD$2:$AD$126)-MIN($AD$2:$AD$126))</f>
        <v>3.5928143712574849E-2</v>
      </c>
      <c r="AP78" s="9">
        <f>1-(AE78-MIN($AE$2:$AE$126))/(MAX($AE$2:$AE$126)-MIN($AE$2:$AE$126))</f>
        <v>0.28120000000000001</v>
      </c>
      <c r="AQ78" s="9">
        <f>(V78-MIN($V$2:$V$126))/(MAX($V$2:$V$126)-MIN($V$2:$V$126))</f>
        <v>0.54166666666666663</v>
      </c>
      <c r="AR78" s="9">
        <f>1-(Y78-MIN($Y$2:$Y$126))/(MAX($Y$2:$Y$126)-MIN($Y$2:$Y$126))</f>
        <v>0.97916666666666663</v>
      </c>
      <c r="AS78" s="9">
        <f>1-(AA78-MIN($AA$2:$AA$126))/(MAX($AA$2:$AA$126)-MIN($AA$2:$AA$126))</f>
        <v>0.80896027049873198</v>
      </c>
      <c r="AT78" s="9">
        <f>(K78-MIN($K$2:$K$126))/(MAX($K$2:$K$126)-MIN($K$2:$K$126))</f>
        <v>0.60606060606060608</v>
      </c>
      <c r="AU78" s="9">
        <f>(L78-MIN($L$2:$L$126))/(MAX($L$2:$L$126)-MIN($L$2:$L$126))</f>
        <v>3.5128485511208313E-2</v>
      </c>
      <c r="AV78" s="8">
        <f>(AI78*(Tablero!$B$5/100)+AJ78*(Tablero!$B$6/100))*(Tablero!$B$4/100)</f>
        <v>0.10875882894848983</v>
      </c>
      <c r="AW78" s="8">
        <f>(AK78*(Tablero!$B$8/100))*(Tablero!$B$7/100)</f>
        <v>8.0613735996103261E-2</v>
      </c>
      <c r="AX78" s="8">
        <f>(AL78*(Tablero!$B$10/100)+AM78*(Tablero!$B$11/100)+AN78*(Tablero!$B$12/100)+AO78*(Tablero!$B$13/100)+AP78*(Tablero!$B$14/100))*(Tablero!$B$9/100)</f>
        <v>5.1717190446717055E-2</v>
      </c>
      <c r="AY78" s="8">
        <f>(AQ78*(Tablero!$B$16/100)+AR78*(Tablero!$B$17/100)+AS78*(Tablero!$B$18/100))*(Tablero!$B$15/100)</f>
        <v>0.19678650676246831</v>
      </c>
      <c r="AZ78" s="8">
        <f>(AT78*(Tablero!$B$20/100)+AU78*(Tablero!$B$21/100))*(Tablero!$B$19/100)</f>
        <v>1.6029727289295359E-2</v>
      </c>
    </row>
    <row r="79" spans="2:52" x14ac:dyDescent="0.4">
      <c r="B79" t="s">
        <v>205</v>
      </c>
      <c r="C79" t="s">
        <v>206</v>
      </c>
      <c r="D79" s="3">
        <v>38349</v>
      </c>
      <c r="E79" s="3">
        <v>381</v>
      </c>
      <c r="F79">
        <v>133</v>
      </c>
      <c r="G79">
        <v>29.2</v>
      </c>
      <c r="H79">
        <v>61.1</v>
      </c>
      <c r="I79">
        <v>65.099999999999994</v>
      </c>
      <c r="J79">
        <v>82</v>
      </c>
      <c r="K79">
        <v>0.22</v>
      </c>
      <c r="L79">
        <v>213</v>
      </c>
      <c r="M79">
        <v>2</v>
      </c>
      <c r="N79">
        <v>306.43904069999991</v>
      </c>
      <c r="O79" s="3">
        <v>5.57</v>
      </c>
      <c r="P79">
        <v>55</v>
      </c>
      <c r="Q79">
        <v>73.01049868766404</v>
      </c>
      <c r="R79">
        <v>52.49</v>
      </c>
      <c r="S79">
        <v>38.06</v>
      </c>
      <c r="T79">
        <v>29.92</v>
      </c>
      <c r="U79">
        <v>49.08</v>
      </c>
      <c r="V79" s="3">
        <v>175</v>
      </c>
      <c r="W79">
        <v>8</v>
      </c>
      <c r="X79">
        <v>7</v>
      </c>
      <c r="Y79">
        <v>1</v>
      </c>
      <c r="Z79">
        <v>0</v>
      </c>
      <c r="AA79" s="3">
        <v>20.9</v>
      </c>
      <c r="AB79">
        <v>148</v>
      </c>
      <c r="AC79">
        <v>45386.13</v>
      </c>
      <c r="AD79">
        <v>7.0000000000000007E-2</v>
      </c>
      <c r="AE79">
        <v>42.57</v>
      </c>
      <c r="AF79">
        <v>3.57</v>
      </c>
      <c r="AG79" s="10">
        <f>AV79+AW79+AX79+AY79+AZ79</f>
        <v>0.43911446314754743</v>
      </c>
      <c r="AH79" t="s">
        <v>41</v>
      </c>
      <c r="AI79" s="9">
        <f>(G79-MIN($G$2:$G$126))/(MAX($G$2:$G$126)-MIN($G$2:$G$126))</f>
        <v>0.53286384976525814</v>
      </c>
      <c r="AJ79" s="9">
        <f>(N79-MIN($N$2:$N$126))/(MAX($N$2:$N$126)-MIN($N$2:$N$126))</f>
        <v>6.463186719394008E-3</v>
      </c>
      <c r="AK79" s="9">
        <f>(O79-MIN($O$2:$O$126))/(MAX($O$2:$O$126)-MIN($O$2:$O$126))</f>
        <v>0.27131027764247445</v>
      </c>
      <c r="AL79" s="9">
        <f>(S79-MIN($S$2:$S$126))/(MAX($S$2:$S$126)-MIN($S$2:$S$126))</f>
        <v>0.64082867783985109</v>
      </c>
      <c r="AM79" s="9">
        <f>(T79-MIN($T$2:$T$126))/(MAX($T$2:$T$126)-MIN($T$2:$T$126))</f>
        <v>0.15396802534927267</v>
      </c>
      <c r="AN79" s="9">
        <f>1-(AC79-MIN($AC$2:$AC$126))/(MAX($AC$2:$AC$126)-MIN($AC$2:$AC$126))</f>
        <v>0.69475821110741109</v>
      </c>
      <c r="AO79" s="9">
        <f>(AD79-MIN($AD$2:$AD$126))/(MAX($AD$2:$AD$126)-MIN($AD$2:$AD$126))</f>
        <v>4.1916167664670663E-2</v>
      </c>
      <c r="AP79" s="9">
        <f>1-(AE79-MIN($AE$2:$AE$126))/(MAX($AE$2:$AE$126)-MIN($AE$2:$AE$126))</f>
        <v>0.57430000000000003</v>
      </c>
      <c r="AQ79" s="9">
        <f>(V79-MIN($V$2:$V$126))/(MAX($V$2:$V$126)-MIN($V$2:$V$126))</f>
        <v>0.4861111111111111</v>
      </c>
      <c r="AR79" s="9">
        <f>1-(Y79-MIN($Y$2:$Y$126))/(MAX($Y$2:$Y$126)-MIN($Y$2:$Y$126))</f>
        <v>0.98958333333333337</v>
      </c>
      <c r="AS79" s="9">
        <f>1-(AA79-MIN($AA$2:$AA$126))/(MAX($AA$2:$AA$126)-MIN($AA$2:$AA$126))</f>
        <v>0.88334742180896031</v>
      </c>
      <c r="AT79" s="9">
        <f>(K79-MIN($K$2:$K$126))/(MAX($K$2:$K$126)-MIN($K$2:$K$126))</f>
        <v>0.51515151515151503</v>
      </c>
      <c r="AU79" s="9">
        <f>(L79-MIN($L$2:$L$126))/(MAX($L$2:$L$126)-MIN($L$2:$L$126))</f>
        <v>2.8294149808638602E-2</v>
      </c>
      <c r="AV79" s="8">
        <f>(AI79*(Tablero!$B$5/100)+AJ79*(Tablero!$B$6/100))*(Tablero!$B$4/100)</f>
        <v>8.0575896136728123E-2</v>
      </c>
      <c r="AW79" s="8">
        <f>(AK79*(Tablero!$B$8/100))*(Tablero!$B$7/100)</f>
        <v>6.7827569410618613E-2</v>
      </c>
      <c r="AX79" s="8">
        <f>(AL79*(Tablero!$B$10/100)+AM79*(Tablero!$B$11/100)+AN79*(Tablero!$B$12/100)+AO79*(Tablero!$B$13/100)+AP79*(Tablero!$B$14/100))*(Tablero!$B$9/100)</f>
        <v>8.2732142653195034E-2</v>
      </c>
      <c r="AY79" s="8">
        <f>(AQ79*(Tablero!$B$16/100)+AR79*(Tablero!$B$17/100)+AS79*(Tablero!$B$18/100))*(Tablero!$B$15/100)</f>
        <v>0.19439271332300179</v>
      </c>
      <c r="AZ79" s="8">
        <f>(AT79*(Tablero!$B$20/100)+AU79*(Tablero!$B$21/100))*(Tablero!$B$19/100)</f>
        <v>1.3586141624003843E-2</v>
      </c>
    </row>
    <row r="80" spans="2:52" x14ac:dyDescent="0.4">
      <c r="B80" t="s">
        <v>207</v>
      </c>
      <c r="C80" t="s">
        <v>208</v>
      </c>
      <c r="D80" s="3">
        <v>20668</v>
      </c>
      <c r="E80" s="3">
        <v>190</v>
      </c>
      <c r="F80">
        <v>36</v>
      </c>
      <c r="G80">
        <v>25.7</v>
      </c>
      <c r="H80">
        <v>29.2</v>
      </c>
      <c r="I80">
        <v>81.099999999999994</v>
      </c>
      <c r="J80">
        <v>46</v>
      </c>
      <c r="K80">
        <v>0.24</v>
      </c>
      <c r="L80">
        <v>84</v>
      </c>
      <c r="M80">
        <v>1</v>
      </c>
      <c r="N80">
        <v>161.80248718999999</v>
      </c>
      <c r="O80" s="3">
        <v>9.52</v>
      </c>
      <c r="P80">
        <v>17</v>
      </c>
      <c r="Q80">
        <v>71.405263157894737</v>
      </c>
      <c r="R80">
        <v>47.37</v>
      </c>
      <c r="S80">
        <v>33.159999999999997</v>
      </c>
      <c r="T80">
        <v>48.95</v>
      </c>
      <c r="U80">
        <v>56.32</v>
      </c>
      <c r="V80" s="3">
        <v>80</v>
      </c>
      <c r="W80">
        <v>5</v>
      </c>
      <c r="X80">
        <v>4</v>
      </c>
      <c r="Y80">
        <v>1</v>
      </c>
      <c r="Z80">
        <v>0</v>
      </c>
      <c r="AA80" s="3">
        <v>24.2</v>
      </c>
      <c r="AB80">
        <v>42</v>
      </c>
      <c r="AC80">
        <v>64107.63</v>
      </c>
      <c r="AD80">
        <v>0.02</v>
      </c>
      <c r="AE80">
        <v>66.67</v>
      </c>
      <c r="AF80">
        <v>2.0499999999999998</v>
      </c>
      <c r="AG80" s="10">
        <f>AV80+AW80+AX80+AY80+AZ80</f>
        <v>0.43904625856507512</v>
      </c>
      <c r="AH80" t="s">
        <v>41</v>
      </c>
      <c r="AI80" s="9">
        <f>(G80-MIN($G$2:$G$126))/(MAX($G$2:$G$126)-MIN($G$2:$G$126))</f>
        <v>0.45070422535211263</v>
      </c>
      <c r="AJ80" s="9">
        <f>(N80-MIN($N$2:$N$126))/(MAX($N$2:$N$126)-MIN($N$2:$N$126))</f>
        <v>3.4126189795611358E-3</v>
      </c>
      <c r="AK80" s="9">
        <f>(O80-MIN($O$2:$O$126))/(MAX($O$2:$O$126)-MIN($O$2:$O$126))</f>
        <v>0.46371164150024352</v>
      </c>
      <c r="AL80" s="9">
        <f>(S80-MIN($S$2:$S$126))/(MAX($S$2:$S$126)-MIN($S$2:$S$126))</f>
        <v>0.52676908752327734</v>
      </c>
      <c r="AM80" s="9">
        <f>(T80-MIN($T$2:$T$126))/(MAX($T$2:$T$126)-MIN($T$2:$T$126))</f>
        <v>0.42805703586345967</v>
      </c>
      <c r="AN80" s="9">
        <f>1-(AC80-MIN($AC$2:$AC$126))/(MAX($AC$2:$AC$126)-MIN($AC$2:$AC$126))</f>
        <v>0.50411021259825683</v>
      </c>
      <c r="AO80" s="9">
        <f>(AD80-MIN($AD$2:$AD$126))/(MAX($AD$2:$AD$126)-MIN($AD$2:$AD$126))</f>
        <v>1.1976047904191617E-2</v>
      </c>
      <c r="AP80" s="9">
        <f>1-(AE80-MIN($AE$2:$AE$126))/(MAX($AE$2:$AE$126)-MIN($AE$2:$AE$126))</f>
        <v>0.33329999999999993</v>
      </c>
      <c r="AQ80" s="9">
        <f>(V80-MIN($V$2:$V$126))/(MAX($V$2:$V$126)-MIN($V$2:$V$126))</f>
        <v>0.22222222222222221</v>
      </c>
      <c r="AR80" s="9">
        <f>1-(Y80-MIN($Y$2:$Y$126))/(MAX($Y$2:$Y$126)-MIN($Y$2:$Y$126))</f>
        <v>0.98958333333333337</v>
      </c>
      <c r="AS80" s="9">
        <f>1-(AA80-MIN($AA$2:$AA$126))/(MAX($AA$2:$AA$126)-MIN($AA$2:$AA$126))</f>
        <v>0.85545224006762466</v>
      </c>
      <c r="AT80" s="9">
        <f>(K80-MIN($K$2:$K$126))/(MAX($K$2:$K$126)-MIN($K$2:$K$126))</f>
        <v>0.57575757575757569</v>
      </c>
      <c r="AU80" s="9">
        <f>(L80-MIN($L$2:$L$126))/(MAX($L$2:$L$126)-MIN($L$2:$L$126))</f>
        <v>1.0661563696008748E-2</v>
      </c>
      <c r="AV80" s="8">
        <f>(AI80*(Tablero!$B$5/100)+AJ80*(Tablero!$B$6/100))*(Tablero!$B$4/100)</f>
        <v>6.7946895700773002E-2</v>
      </c>
      <c r="AW80" s="8">
        <f>(AK80*(Tablero!$B$8/100))*(Tablero!$B$7/100)</f>
        <v>0.11592791037506088</v>
      </c>
      <c r="AX80" s="8">
        <f>(AL80*(Tablero!$B$10/100)+AM80*(Tablero!$B$11/100)+AN80*(Tablero!$B$12/100)+AO80*(Tablero!$B$13/100)+AP80*(Tablero!$B$14/100))*(Tablero!$B$9/100)</f>
        <v>7.32045291123221E-2</v>
      </c>
      <c r="AY80" s="8">
        <f>(AQ80*(Tablero!$B$16/100)+AR80*(Tablero!$B$17/100)+AS80*(Tablero!$B$18/100))*(Tablero!$B$15/100)</f>
        <v>0.1673064448905795</v>
      </c>
      <c r="AZ80" s="8">
        <f>(AT80*(Tablero!$B$20/100)+AU80*(Tablero!$B$21/100))*(Tablero!$B$19/100)</f>
        <v>1.4660478486339612E-2</v>
      </c>
    </row>
    <row r="81" spans="2:52" x14ac:dyDescent="0.4">
      <c r="B81" t="s">
        <v>173</v>
      </c>
      <c r="C81" t="s">
        <v>174</v>
      </c>
      <c r="D81" s="3">
        <v>25850</v>
      </c>
      <c r="E81" s="3">
        <v>239</v>
      </c>
      <c r="F81">
        <v>93</v>
      </c>
      <c r="G81">
        <v>25.9</v>
      </c>
      <c r="H81">
        <v>60.5</v>
      </c>
      <c r="I81">
        <v>61.1</v>
      </c>
      <c r="J81">
        <v>37</v>
      </c>
      <c r="K81">
        <v>0.16</v>
      </c>
      <c r="L81">
        <v>114</v>
      </c>
      <c r="M81">
        <v>1</v>
      </c>
      <c r="N81">
        <v>253.05460640000001</v>
      </c>
      <c r="O81" s="3">
        <v>6.17</v>
      </c>
      <c r="P81">
        <v>41</v>
      </c>
      <c r="Q81">
        <v>73.108786610878667</v>
      </c>
      <c r="R81">
        <v>47.7</v>
      </c>
      <c r="S81">
        <v>20.079999999999998</v>
      </c>
      <c r="T81">
        <v>51.46</v>
      </c>
      <c r="U81">
        <v>55.23</v>
      </c>
      <c r="V81" s="3">
        <v>115</v>
      </c>
      <c r="W81">
        <v>6</v>
      </c>
      <c r="X81">
        <v>6</v>
      </c>
      <c r="Y81">
        <v>0</v>
      </c>
      <c r="Z81">
        <v>0</v>
      </c>
      <c r="AA81" s="3">
        <v>23.2</v>
      </c>
      <c r="AB81">
        <v>66</v>
      </c>
      <c r="AC81">
        <v>56092.09</v>
      </c>
      <c r="AD81">
        <v>0.28999999999999998</v>
      </c>
      <c r="AE81">
        <v>42.42</v>
      </c>
      <c r="AF81">
        <v>2.0099999999999998</v>
      </c>
      <c r="AG81" s="10">
        <f>AV81+AW81+AX81+AY81+AZ81</f>
        <v>0.42477227091659336</v>
      </c>
      <c r="AH81" t="s">
        <v>41</v>
      </c>
      <c r="AI81" s="9">
        <f>(G81-MIN($G$2:$G$126))/(MAX($G$2:$G$126)-MIN($G$2:$G$126))</f>
        <v>0.45539906103286382</v>
      </c>
      <c r="AJ81" s="9">
        <f>(N81-MIN($N$2:$N$126))/(MAX($N$2:$N$126)-MIN($N$2:$N$126))</f>
        <v>5.3372415199769898E-3</v>
      </c>
      <c r="AK81" s="9">
        <f>(O81-MIN($O$2:$O$126))/(MAX($O$2:$O$126)-MIN($O$2:$O$126))</f>
        <v>0.30053580126643936</v>
      </c>
      <c r="AL81" s="9">
        <f>(S81-MIN($S$2:$S$126))/(MAX($S$2:$S$126)-MIN($S$2:$S$126))</f>
        <v>0.22229981378026067</v>
      </c>
      <c r="AM81" s="9">
        <f>(T81-MIN($T$2:$T$126))/(MAX($T$2:$T$126)-MIN($T$2:$T$126))</f>
        <v>0.46420855537951905</v>
      </c>
      <c r="AN81" s="9">
        <f>1-(AC81-MIN($AC$2:$AC$126))/(MAX($AC$2:$AC$126)-MIN($AC$2:$AC$126))</f>
        <v>0.58573543803265404</v>
      </c>
      <c r="AO81" s="9">
        <f>(AD81-MIN($AD$2:$AD$126))/(MAX($AD$2:$AD$126)-MIN($AD$2:$AD$126))</f>
        <v>0.17365269461077845</v>
      </c>
      <c r="AP81" s="9">
        <f>1-(AE81-MIN($AE$2:$AE$126))/(MAX($AE$2:$AE$126)-MIN($AE$2:$AE$126))</f>
        <v>0.57579999999999998</v>
      </c>
      <c r="AQ81" s="9">
        <f>(V81-MIN($V$2:$V$126))/(MAX($V$2:$V$126)-MIN($V$2:$V$126))</f>
        <v>0.31944444444444442</v>
      </c>
      <c r="AR81" s="9">
        <f>1-(Y81-MIN($Y$2:$Y$126))/(MAX($Y$2:$Y$126)-MIN($Y$2:$Y$126))</f>
        <v>1</v>
      </c>
      <c r="AS81" s="9">
        <f>1-(AA81-MIN($AA$2:$AA$126))/(MAX($AA$2:$AA$126)-MIN($AA$2:$AA$126))</f>
        <v>0.86390532544378695</v>
      </c>
      <c r="AT81" s="9">
        <f>(K81-MIN($K$2:$K$126))/(MAX($K$2:$K$126)-MIN($K$2:$K$126))</f>
        <v>0.33333333333333331</v>
      </c>
      <c r="AU81" s="9">
        <f>(L81-MIN($L$2:$L$126))/(MAX($L$2:$L$126)-MIN($L$2:$L$126))</f>
        <v>1.4762165117550574E-2</v>
      </c>
      <c r="AV81" s="8">
        <f>(AI81*(Tablero!$B$5/100)+AJ81*(Tablero!$B$6/100))*(Tablero!$B$4/100)</f>
        <v>6.8843583306927275E-2</v>
      </c>
      <c r="AW81" s="8">
        <f>(AK81*(Tablero!$B$8/100))*(Tablero!$B$7/100)</f>
        <v>7.513395031660984E-2</v>
      </c>
      <c r="AX81" s="8">
        <f>(AL81*(Tablero!$B$10/100)+AM81*(Tablero!$B$11/100)+AN81*(Tablero!$B$12/100)+AO81*(Tablero!$B$13/100)+AP81*(Tablero!$B$14/100))*(Tablero!$B$9/100)</f>
        <v>9.3550272251245015E-2</v>
      </c>
      <c r="AY81" s="8">
        <f>(AQ81*(Tablero!$B$16/100)+AR81*(Tablero!$B$17/100)+AS81*(Tablero!$B$18/100))*(Tablero!$B$15/100)</f>
        <v>0.17854207758053911</v>
      </c>
      <c r="AZ81" s="8">
        <f>(AT81*(Tablero!$B$20/100)+AU81*(Tablero!$B$21/100))*(Tablero!$B$19/100)</f>
        <v>8.7023874612720976E-3</v>
      </c>
    </row>
    <row r="82" spans="2:52" hidden="1" x14ac:dyDescent="0.4">
      <c r="B82" t="s">
        <v>201</v>
      </c>
      <c r="C82" t="s">
        <v>202</v>
      </c>
      <c r="D82" s="3">
        <v>56201</v>
      </c>
      <c r="E82" s="3">
        <v>444</v>
      </c>
      <c r="F82">
        <v>185</v>
      </c>
      <c r="G82">
        <v>22.2</v>
      </c>
      <c r="H82">
        <v>55.6</v>
      </c>
      <c r="I82">
        <v>58.3</v>
      </c>
      <c r="J82">
        <v>83</v>
      </c>
      <c r="K82">
        <v>0.19</v>
      </c>
      <c r="L82">
        <v>178</v>
      </c>
      <c r="M82">
        <v>3</v>
      </c>
      <c r="N82">
        <v>511.35727627999989</v>
      </c>
      <c r="O82" s="3">
        <v>7.41</v>
      </c>
      <c r="P82">
        <v>69</v>
      </c>
      <c r="Q82">
        <v>69.207207207207205</v>
      </c>
      <c r="R82">
        <v>47.3</v>
      </c>
      <c r="S82">
        <v>18.02</v>
      </c>
      <c r="T82">
        <v>43.47</v>
      </c>
      <c r="U82">
        <v>56.08</v>
      </c>
      <c r="V82" s="3">
        <v>70</v>
      </c>
      <c r="W82">
        <v>13</v>
      </c>
      <c r="X82">
        <v>13</v>
      </c>
      <c r="Y82">
        <v>0</v>
      </c>
      <c r="Z82">
        <v>0</v>
      </c>
      <c r="AA82" s="3">
        <v>23.1</v>
      </c>
      <c r="AB82">
        <v>96</v>
      </c>
      <c r="AC82">
        <v>38065.980000000003</v>
      </c>
      <c r="AD82">
        <v>0.41</v>
      </c>
      <c r="AE82">
        <v>26.04</v>
      </c>
      <c r="AF82">
        <v>2.0699999999999998</v>
      </c>
      <c r="AG82" s="10">
        <f>AV82+AW82+AX82+AY82+AZ82</f>
        <v>0.42774993704770214</v>
      </c>
      <c r="AH82" t="s">
        <v>41</v>
      </c>
      <c r="AI82" s="9">
        <f>(G82-MIN($G$2:$G$126))/(MAX($G$2:$G$126)-MIN($G$2:$G$126))</f>
        <v>0.36854460093896713</v>
      </c>
      <c r="AJ82" s="9">
        <f>(N82-MIN($N$2:$N$126))/(MAX($N$2:$N$126)-MIN($N$2:$N$126))</f>
        <v>1.0785171332506357E-2</v>
      </c>
      <c r="AK82" s="9">
        <f>(O82-MIN($O$2:$O$126))/(MAX($O$2:$O$126)-MIN($O$2:$O$126))</f>
        <v>0.36093521675596685</v>
      </c>
      <c r="AL82" s="9">
        <f>(S82-MIN($S$2:$S$126))/(MAX($S$2:$S$126)-MIN($S$2:$S$126))</f>
        <v>0.17434823091247673</v>
      </c>
      <c r="AM82" s="9">
        <f>(T82-MIN($T$2:$T$126))/(MAX($T$2:$T$126)-MIN($T$2:$T$126))</f>
        <v>0.34912861875270057</v>
      </c>
      <c r="AN82" s="9">
        <f>1-(AC82-MIN($AC$2:$AC$126))/(MAX($AC$2:$AC$126)-MIN($AC$2:$AC$126))</f>
        <v>0.76930202150117155</v>
      </c>
      <c r="AO82" s="9">
        <f>(AD82-MIN($AD$2:$AD$126))/(MAX($AD$2:$AD$126)-MIN($AD$2:$AD$126))</f>
        <v>0.24550898203592814</v>
      </c>
      <c r="AP82" s="9">
        <f>1-(AE82-MIN($AE$2:$AE$126))/(MAX($AE$2:$AE$126)-MIN($AE$2:$AE$126))</f>
        <v>0.73960000000000004</v>
      </c>
      <c r="AQ82" s="9">
        <f>(V82-MIN($V$2:$V$126))/(MAX($V$2:$V$126)-MIN($V$2:$V$126))</f>
        <v>0.19444444444444445</v>
      </c>
      <c r="AR82" s="9">
        <f>1-(Y82-MIN($Y$2:$Y$126))/(MAX($Y$2:$Y$126)-MIN($Y$2:$Y$126))</f>
        <v>1</v>
      </c>
      <c r="AS82" s="9">
        <f>1-(AA82-MIN($AA$2:$AA$126))/(MAX($AA$2:$AA$126)-MIN($AA$2:$AA$126))</f>
        <v>0.86475063398140328</v>
      </c>
      <c r="AT82" s="9">
        <f>(K82-MIN($K$2:$K$126))/(MAX($K$2:$K$126)-MIN($K$2:$K$126))</f>
        <v>0.42424242424242425</v>
      </c>
      <c r="AU82" s="9">
        <f>(L82-MIN($L$2:$L$126))/(MAX($L$2:$L$126)-MIN($L$2:$L$126))</f>
        <v>2.3510114816839803E-2</v>
      </c>
      <c r="AV82" s="8">
        <f>(AI82*(Tablero!$B$5/100)+AJ82*(Tablero!$B$6/100))*(Tablero!$B$4/100)</f>
        <v>5.63602072740957E-2</v>
      </c>
      <c r="AW82" s="8">
        <f>(AK82*(Tablero!$B$8/100))*(Tablero!$B$7/100)</f>
        <v>9.0233804188991712E-2</v>
      </c>
      <c r="AX82" s="8">
        <f>(AL82*(Tablero!$B$10/100)+AM82*(Tablero!$B$11/100)+AN82*(Tablero!$B$12/100)+AO82*(Tablero!$B$13/100)+AP82*(Tablero!$B$14/100))*(Tablero!$B$9/100)</f>
        <v>0.10389890181415358</v>
      </c>
      <c r="AY82" s="8">
        <f>(AQ82*(Tablero!$B$16/100)+AR82*(Tablero!$B$17/100)+AS82*(Tablero!$B$18/100))*(Tablero!$B$15/100)</f>
        <v>0.16606321029397952</v>
      </c>
      <c r="AZ82" s="8">
        <f>(AT82*(Tablero!$B$20/100)+AU82*(Tablero!$B$21/100))*(Tablero!$B$19/100)</f>
        <v>1.1193813476481601E-2</v>
      </c>
    </row>
    <row r="83" spans="2:52" hidden="1" x14ac:dyDescent="0.4">
      <c r="B83" t="s">
        <v>203</v>
      </c>
      <c r="C83" s="4" t="s">
        <v>204</v>
      </c>
      <c r="D83" s="3">
        <v>70917</v>
      </c>
      <c r="E83" s="3">
        <v>730</v>
      </c>
      <c r="F83">
        <v>348</v>
      </c>
      <c r="G83">
        <v>29</v>
      </c>
      <c r="H83">
        <v>82.9</v>
      </c>
      <c r="I83">
        <v>52.3</v>
      </c>
      <c r="J83">
        <v>163</v>
      </c>
      <c r="K83">
        <v>0.22</v>
      </c>
      <c r="L83">
        <v>372</v>
      </c>
      <c r="M83">
        <v>6</v>
      </c>
      <c r="N83">
        <v>2620.9236325299989</v>
      </c>
      <c r="O83" s="3">
        <v>8.65</v>
      </c>
      <c r="P83">
        <v>303</v>
      </c>
      <c r="Q83">
        <v>71.171232876712324</v>
      </c>
      <c r="R83">
        <v>53.84</v>
      </c>
      <c r="S83">
        <v>16.3</v>
      </c>
      <c r="T83">
        <v>52.33</v>
      </c>
      <c r="U83">
        <v>47.26</v>
      </c>
      <c r="V83" s="3">
        <v>145</v>
      </c>
      <c r="W83">
        <v>21</v>
      </c>
      <c r="X83">
        <v>18</v>
      </c>
      <c r="Y83">
        <v>3</v>
      </c>
      <c r="Z83">
        <v>0</v>
      </c>
      <c r="AA83" s="3">
        <v>29.6</v>
      </c>
      <c r="AB83">
        <v>84</v>
      </c>
      <c r="AC83">
        <v>54865.08</v>
      </c>
      <c r="AD83">
        <v>0.11</v>
      </c>
      <c r="AE83">
        <v>45.24</v>
      </c>
      <c r="AF83">
        <v>5.42</v>
      </c>
      <c r="AG83" s="10">
        <f>AV83+AW83+AX83+AY83+AZ83</f>
        <v>0.47421355343537186</v>
      </c>
      <c r="AH83" t="s">
        <v>41</v>
      </c>
      <c r="AI83" s="9">
        <f>(G83-MIN($G$2:$G$126))/(MAX($G$2:$G$126)-MIN($G$2:$G$126))</f>
        <v>0.528169014084507</v>
      </c>
      <c r="AJ83" s="9">
        <f>(N83-MIN($N$2:$N$126))/(MAX($N$2:$N$126)-MIN($N$2:$N$126))</f>
        <v>5.5278592360877975E-2</v>
      </c>
      <c r="AK83" s="9">
        <f>(O83-MIN($O$2:$O$126))/(MAX($O$2:$O$126)-MIN($O$2:$O$126))</f>
        <v>0.42133463224549439</v>
      </c>
      <c r="AL83" s="9">
        <f>(S83-MIN($S$2:$S$126))/(MAX($S$2:$S$126)-MIN($S$2:$S$126))</f>
        <v>0.13431098696461827</v>
      </c>
      <c r="AM83" s="9">
        <f>(T83-MIN($T$2:$T$126))/(MAX($T$2:$T$126)-MIN($T$2:$T$126))</f>
        <v>0.47673916174564307</v>
      </c>
      <c r="AN83" s="9">
        <f>1-(AC83-MIN($AC$2:$AC$126))/(MAX($AC$2:$AC$126)-MIN($AC$2:$AC$126))</f>
        <v>0.59823053728488884</v>
      </c>
      <c r="AO83" s="9">
        <f>(AD83-MIN($AD$2:$AD$126))/(MAX($AD$2:$AD$126)-MIN($AD$2:$AD$126))</f>
        <v>6.5868263473053898E-2</v>
      </c>
      <c r="AP83" s="9">
        <f>1-(AE83-MIN($AE$2:$AE$126))/(MAX($AE$2:$AE$126)-MIN($AE$2:$AE$126))</f>
        <v>0.54759999999999998</v>
      </c>
      <c r="AQ83" s="9">
        <f>(V83-MIN($V$2:$V$126))/(MAX($V$2:$V$126)-MIN($V$2:$V$126))</f>
        <v>0.40277777777777779</v>
      </c>
      <c r="AR83" s="9">
        <f>1-(Y83-MIN($Y$2:$Y$126))/(MAX($Y$2:$Y$126)-MIN($Y$2:$Y$126))</f>
        <v>0.96875</v>
      </c>
      <c r="AS83" s="9">
        <f>1-(AA83-MIN($AA$2:$AA$126))/(MAX($AA$2:$AA$126)-MIN($AA$2:$AA$126))</f>
        <v>0.80980557903634831</v>
      </c>
      <c r="AT83" s="9">
        <f>(K83-MIN($K$2:$K$126))/(MAX($K$2:$K$126)-MIN($K$2:$K$126))</f>
        <v>0.51515151515151503</v>
      </c>
      <c r="AU83" s="9">
        <f>(L83-MIN($L$2:$L$126))/(MAX($L$2:$L$126)-MIN($L$2:$L$126))</f>
        <v>5.0027337342810278E-2</v>
      </c>
      <c r="AV83" s="8">
        <f>(AI83*(Tablero!$B$5/100)+AJ83*(Tablero!$B$6/100))*(Tablero!$B$4/100)</f>
        <v>8.4753211348763846E-2</v>
      </c>
      <c r="AW83" s="8">
        <f>(AK83*(Tablero!$B$8/100))*(Tablero!$B$7/100)</f>
        <v>0.1053336580613736</v>
      </c>
      <c r="AX83" s="8">
        <f>(AL83*(Tablero!$B$10/100)+AM83*(Tablero!$B$11/100)+AN83*(Tablero!$B$12/100)+AO83*(Tablero!$B$13/100)+AP83*(Tablero!$B$14/100))*(Tablero!$B$9/100)</f>
        <v>8.8380545459189816E-2</v>
      </c>
      <c r="AY83" s="8">
        <f>(AQ83*(Tablero!$B$16/100)+AR83*(Tablero!$B$17/100)+AS83*(Tablero!$B$18/100))*(Tablero!$B$15/100)</f>
        <v>0.18161666725368647</v>
      </c>
      <c r="AZ83" s="8">
        <f>(AT83*(Tablero!$B$20/100)+AU83*(Tablero!$B$21/100))*(Tablero!$B$19/100)</f>
        <v>1.4129471312358134E-2</v>
      </c>
    </row>
    <row r="84" spans="2:52" x14ac:dyDescent="0.4">
      <c r="B84" t="s">
        <v>239</v>
      </c>
      <c r="C84" t="s">
        <v>240</v>
      </c>
      <c r="D84" s="3">
        <v>33013</v>
      </c>
      <c r="E84" s="3">
        <v>206</v>
      </c>
      <c r="F84">
        <v>56</v>
      </c>
      <c r="G84">
        <v>17.2</v>
      </c>
      <c r="H84">
        <v>28.1</v>
      </c>
      <c r="I84">
        <v>72.8</v>
      </c>
      <c r="J84">
        <v>44</v>
      </c>
      <c r="K84">
        <v>0.21</v>
      </c>
      <c r="L84">
        <v>82</v>
      </c>
      <c r="M84">
        <v>3</v>
      </c>
      <c r="N84">
        <v>285.67316085999988</v>
      </c>
      <c r="O84" s="3">
        <v>8.66</v>
      </c>
      <c r="P84">
        <v>33</v>
      </c>
      <c r="Q84">
        <v>70.402912621359221</v>
      </c>
      <c r="R84">
        <v>48.54</v>
      </c>
      <c r="S84">
        <v>33.01</v>
      </c>
      <c r="T84">
        <v>65.05</v>
      </c>
      <c r="U84">
        <v>61.17</v>
      </c>
      <c r="V84" s="3">
        <v>165</v>
      </c>
      <c r="W84">
        <v>10</v>
      </c>
      <c r="X84">
        <v>7</v>
      </c>
      <c r="Y84">
        <v>3</v>
      </c>
      <c r="Z84">
        <v>0</v>
      </c>
      <c r="AA84" s="3">
        <v>30.3</v>
      </c>
      <c r="AB84">
        <v>24</v>
      </c>
      <c r="AC84">
        <v>113610.9</v>
      </c>
      <c r="AD84">
        <v>0</v>
      </c>
      <c r="AE84">
        <v>62.5</v>
      </c>
      <c r="AF84">
        <v>9.16</v>
      </c>
      <c r="AG84" s="10">
        <f>AV84+AW84+AX84+AY84+AZ84</f>
        <v>0.42320148437922156</v>
      </c>
      <c r="AH84" t="s">
        <v>41</v>
      </c>
      <c r="AI84" s="9">
        <f>(G84-MIN($G$2:$G$126))/(MAX($G$2:$G$126)-MIN($G$2:$G$126))</f>
        <v>0.25117370892018775</v>
      </c>
      <c r="AJ84" s="9">
        <f>(N84-MIN($N$2:$N$126))/(MAX($N$2:$N$126)-MIN($N$2:$N$126))</f>
        <v>6.0252080646774455E-3</v>
      </c>
      <c r="AK84" s="9">
        <f>(O84-MIN($O$2:$O$126))/(MAX($O$2:$O$126)-MIN($O$2:$O$126))</f>
        <v>0.42182172430589382</v>
      </c>
      <c r="AL84" s="9">
        <f>(S84-MIN($S$2:$S$126))/(MAX($S$2:$S$126)-MIN($S$2:$S$126))</f>
        <v>0.52327746741154557</v>
      </c>
      <c r="AM84" s="9">
        <f>(T84-MIN($T$2:$T$126))/(MAX($T$2:$T$126)-MIN($T$2:$T$126))</f>
        <v>0.6599452686158721</v>
      </c>
      <c r="AN84" s="9">
        <f>1-(AC84-MIN($AC$2:$AC$126))/(MAX($AC$2:$AC$126)-MIN($AC$2:$AC$126))</f>
        <v>0</v>
      </c>
      <c r="AO84" s="9">
        <f>(AD84-MIN($AD$2:$AD$126))/(MAX($AD$2:$AD$126)-MIN($AD$2:$AD$126))</f>
        <v>0</v>
      </c>
      <c r="AP84" s="9">
        <f>1-(AE84-MIN($AE$2:$AE$126))/(MAX($AE$2:$AE$126)-MIN($AE$2:$AE$126))</f>
        <v>0.375</v>
      </c>
      <c r="AQ84" s="9">
        <f>(V84-MIN($V$2:$V$126))/(MAX($V$2:$V$126)-MIN($V$2:$V$126))</f>
        <v>0.45833333333333331</v>
      </c>
      <c r="AR84" s="9">
        <f>1-(Y84-MIN($Y$2:$Y$126))/(MAX($Y$2:$Y$126)-MIN($Y$2:$Y$126))</f>
        <v>0.96875</v>
      </c>
      <c r="AS84" s="9">
        <f>1-(AA84-MIN($AA$2:$AA$126))/(MAX($AA$2:$AA$126)-MIN($AA$2:$AA$126))</f>
        <v>0.80388841927303467</v>
      </c>
      <c r="AT84" s="9">
        <f>(K84-MIN($K$2:$K$126))/(MAX($K$2:$K$126)-MIN($K$2:$K$126))</f>
        <v>0.48484848484848475</v>
      </c>
      <c r="AU84" s="9">
        <f>(L84-MIN($L$2:$L$126))/(MAX($L$2:$L$126)-MIN($L$2:$L$126))</f>
        <v>1.038819026790596E-2</v>
      </c>
      <c r="AV84" s="8">
        <f>(AI84*(Tablero!$B$5/100)+AJ84*(Tablero!$B$6/100))*(Tablero!$B$4/100)</f>
        <v>3.8278577144495902E-2</v>
      </c>
      <c r="AW84" s="8">
        <f>(AK84*(Tablero!$B$8/100))*(Tablero!$B$7/100)</f>
        <v>0.10545543107647345</v>
      </c>
      <c r="AX84" s="8">
        <f>(AL84*(Tablero!$B$10/100)+AM84*(Tablero!$B$11/100)+AN84*(Tablero!$B$12/100)+AO84*(Tablero!$B$13/100)+AP84*(Tablero!$B$14/100))*(Tablero!$B$9/100)</f>
        <v>8.0062265465183247E-2</v>
      </c>
      <c r="AY84" s="8">
        <f>(AQ84*(Tablero!$B$16/100)+AR84*(Tablero!$B$17/100)+AS84*(Tablero!$B$18/100))*(Tablero!$B$15/100)</f>
        <v>0.1870242938151592</v>
      </c>
      <c r="AZ84" s="8">
        <f>(AT84*(Tablero!$B$20/100)+AU84*(Tablero!$B$21/100))*(Tablero!$B$19/100)</f>
        <v>1.2380916877909768E-2</v>
      </c>
    </row>
    <row r="85" spans="2:52" x14ac:dyDescent="0.4">
      <c r="B85" t="s">
        <v>181</v>
      </c>
      <c r="C85" t="s">
        <v>182</v>
      </c>
      <c r="D85" s="3">
        <v>28949</v>
      </c>
      <c r="E85" s="3">
        <v>331</v>
      </c>
      <c r="F85">
        <v>85</v>
      </c>
      <c r="G85">
        <v>32</v>
      </c>
      <c r="H85">
        <v>49.2</v>
      </c>
      <c r="I85">
        <v>74.3</v>
      </c>
      <c r="J85">
        <v>76</v>
      </c>
      <c r="K85">
        <v>0.23</v>
      </c>
      <c r="L85">
        <v>160</v>
      </c>
      <c r="M85">
        <v>1</v>
      </c>
      <c r="N85">
        <v>240.14822582999989</v>
      </c>
      <c r="O85" s="3">
        <v>5</v>
      </c>
      <c r="P85">
        <v>48</v>
      </c>
      <c r="Q85">
        <v>74.785498489425976</v>
      </c>
      <c r="R85">
        <v>49.55</v>
      </c>
      <c r="S85">
        <v>52.57</v>
      </c>
      <c r="T85">
        <v>46.83</v>
      </c>
      <c r="U85">
        <v>56.19</v>
      </c>
      <c r="V85" s="3">
        <v>65</v>
      </c>
      <c r="W85">
        <v>10</v>
      </c>
      <c r="X85">
        <v>9</v>
      </c>
      <c r="Y85">
        <v>1</v>
      </c>
      <c r="Z85">
        <v>0</v>
      </c>
      <c r="AA85" s="3">
        <v>34.5</v>
      </c>
      <c r="AB85">
        <v>86</v>
      </c>
      <c r="AC85">
        <v>55364.63</v>
      </c>
      <c r="AD85">
        <v>0.26</v>
      </c>
      <c r="AE85">
        <v>61.63</v>
      </c>
      <c r="AF85">
        <v>5.0599999999999996</v>
      </c>
      <c r="AG85" s="10">
        <f>AV85+AW85+AX85+AY85+AZ85</f>
        <v>0.41540315594733979</v>
      </c>
      <c r="AH85" t="s">
        <v>41</v>
      </c>
      <c r="AI85" s="9">
        <f>(G85-MIN($G$2:$G$126))/(MAX($G$2:$G$126)-MIN($G$2:$G$126))</f>
        <v>0.59859154929577463</v>
      </c>
      <c r="AJ85" s="9">
        <f>(N85-MIN($N$2:$N$126))/(MAX($N$2:$N$126)-MIN($N$2:$N$126))</f>
        <v>5.0650296395817196E-3</v>
      </c>
      <c r="AK85" s="9">
        <f>(O85-MIN($O$2:$O$126))/(MAX($O$2:$O$126)-MIN($O$2:$O$126))</f>
        <v>0.24354603019970772</v>
      </c>
      <c r="AL85" s="9">
        <f>(S85-MIN($S$2:$S$126))/(MAX($S$2:$S$126)-MIN($S$2:$S$126))</f>
        <v>0.97858472998137802</v>
      </c>
      <c r="AM85" s="9">
        <f>(T85-MIN($T$2:$T$126))/(MAX($T$2:$T$126)-MIN($T$2:$T$126))</f>
        <v>0.39752268471842145</v>
      </c>
      <c r="AN85" s="9">
        <f>1-(AC85-MIN($AC$2:$AC$126))/(MAX($AC$2:$AC$126)-MIN($AC$2:$AC$126))</f>
        <v>0.59314343381266466</v>
      </c>
      <c r="AO85" s="9">
        <f>(AD85-MIN($AD$2:$AD$126))/(MAX($AD$2:$AD$126)-MIN($AD$2:$AD$126))</f>
        <v>0.15568862275449102</v>
      </c>
      <c r="AP85" s="9">
        <f>1-(AE85-MIN($AE$2:$AE$126))/(MAX($AE$2:$AE$126)-MIN($AE$2:$AE$126))</f>
        <v>0.38369999999999993</v>
      </c>
      <c r="AQ85" s="9">
        <f>(V85-MIN($V$2:$V$126))/(MAX($V$2:$V$126)-MIN($V$2:$V$126))</f>
        <v>0.18055555555555555</v>
      </c>
      <c r="AR85" s="9">
        <f>1-(Y85-MIN($Y$2:$Y$126))/(MAX($Y$2:$Y$126)-MIN($Y$2:$Y$126))</f>
        <v>0.98958333333333337</v>
      </c>
      <c r="AS85" s="9">
        <f>1-(AA85-MIN($AA$2:$AA$126))/(MAX($AA$2:$AA$126)-MIN($AA$2:$AA$126))</f>
        <v>0.76838546069315306</v>
      </c>
      <c r="AT85" s="9">
        <f>(K85-MIN($K$2:$K$126))/(MAX($K$2:$K$126)-MIN($K$2:$K$126))</f>
        <v>0.54545454545454541</v>
      </c>
      <c r="AU85" s="9">
        <f>(L85-MIN($L$2:$L$126))/(MAX($L$2:$L$126)-MIN($L$2:$L$126))</f>
        <v>2.1049753963914706E-2</v>
      </c>
      <c r="AV85" s="8">
        <f>(AI85*(Tablero!$B$5/100)+AJ85*(Tablero!$B$6/100))*(Tablero!$B$4/100)</f>
        <v>9.0295235358324358E-2</v>
      </c>
      <c r="AW85" s="8">
        <f>(AK85*(Tablero!$B$8/100))*(Tablero!$B$7/100)</f>
        <v>6.088650754992693E-2</v>
      </c>
      <c r="AX85" s="8">
        <f>(AL85*(Tablero!$B$10/100)+AM85*(Tablero!$B$11/100)+AN85*(Tablero!$B$12/100)+AO85*(Tablero!$B$13/100)+AP85*(Tablero!$B$14/100))*(Tablero!$B$9/100)</f>
        <v>8.9095696814075975E-2</v>
      </c>
      <c r="AY85" s="8">
        <f>(AQ85*(Tablero!$B$16/100)+AR85*(Tablero!$B$17/100)+AS85*(Tablero!$B$18/100))*(Tablero!$B$15/100)</f>
        <v>0.16096310873955105</v>
      </c>
      <c r="AZ85" s="8">
        <f>(AT85*(Tablero!$B$20/100)+AU85*(Tablero!$B$21/100))*(Tablero!$B$19/100)</f>
        <v>1.4162607485461505E-2</v>
      </c>
    </row>
    <row r="86" spans="2:52" hidden="1" x14ac:dyDescent="0.4">
      <c r="B86" t="s">
        <v>209</v>
      </c>
      <c r="C86" t="s">
        <v>210</v>
      </c>
      <c r="D86" s="3">
        <v>18673</v>
      </c>
      <c r="E86" s="3">
        <v>121</v>
      </c>
      <c r="F86">
        <v>30</v>
      </c>
      <c r="G86">
        <v>18</v>
      </c>
      <c r="H86">
        <v>26.7</v>
      </c>
      <c r="I86">
        <v>75.2</v>
      </c>
      <c r="J86">
        <v>16</v>
      </c>
      <c r="K86">
        <v>0.13</v>
      </c>
      <c r="L86">
        <v>62</v>
      </c>
      <c r="M86">
        <v>1</v>
      </c>
      <c r="N86">
        <v>156.65094644000001</v>
      </c>
      <c r="O86" s="3">
        <v>8.24</v>
      </c>
      <c r="P86">
        <v>19</v>
      </c>
      <c r="Q86">
        <v>72.330578512396698</v>
      </c>
      <c r="R86">
        <v>52.07</v>
      </c>
      <c r="S86">
        <v>28.93</v>
      </c>
      <c r="T86">
        <v>76.86</v>
      </c>
      <c r="U86">
        <v>64.459999999999994</v>
      </c>
      <c r="V86" s="3">
        <v>190</v>
      </c>
      <c r="W86">
        <v>4</v>
      </c>
      <c r="X86">
        <v>3</v>
      </c>
      <c r="Y86">
        <v>1</v>
      </c>
      <c r="Z86">
        <v>0</v>
      </c>
      <c r="AA86" s="3">
        <v>21.4</v>
      </c>
      <c r="AB86">
        <v>106</v>
      </c>
      <c r="AC86">
        <v>65330.73</v>
      </c>
      <c r="AD86">
        <v>0.6</v>
      </c>
      <c r="AE86">
        <v>38.68</v>
      </c>
      <c r="AF86">
        <v>6.02</v>
      </c>
      <c r="AG86" s="10">
        <f>AV86+AW86+AX86+AY86+AZ86</f>
        <v>0.47031351703263824</v>
      </c>
      <c r="AH86" t="s">
        <v>41</v>
      </c>
      <c r="AI86" s="9">
        <f>(G86-MIN($G$2:$G$126))/(MAX($G$2:$G$126)-MIN($G$2:$G$126))</f>
        <v>0.2699530516431925</v>
      </c>
      <c r="AJ86" s="9">
        <f>(N86-MIN($N$2:$N$126))/(MAX($N$2:$N$126)-MIN($N$2:$N$126))</f>
        <v>3.3039664733929917E-3</v>
      </c>
      <c r="AK86" s="9">
        <f>(O86-MIN($O$2:$O$126))/(MAX($O$2:$O$126)-MIN($O$2:$O$126))</f>
        <v>0.40136385776911837</v>
      </c>
      <c r="AL86" s="9">
        <f>(S86-MIN($S$2:$S$126))/(MAX($S$2:$S$126)-MIN($S$2:$S$126))</f>
        <v>0.42830540037243942</v>
      </c>
      <c r="AM86" s="9">
        <f>(T86-MIN($T$2:$T$126))/(MAX($T$2:$T$126)-MIN($T$2:$T$126))</f>
        <v>0.83004464928705168</v>
      </c>
      <c r="AN86" s="9">
        <f>1-(AC86-MIN($AC$2:$AC$126))/(MAX($AC$2:$AC$126)-MIN($AC$2:$AC$126))</f>
        <v>0.49165493033046048</v>
      </c>
      <c r="AO86" s="9">
        <f>(AD86-MIN($AD$2:$AD$126))/(MAX($AD$2:$AD$126)-MIN($AD$2:$AD$126))</f>
        <v>0.3592814371257485</v>
      </c>
      <c r="AP86" s="9">
        <f>1-(AE86-MIN($AE$2:$AE$126))/(MAX($AE$2:$AE$126)-MIN($AE$2:$AE$126))</f>
        <v>0.61319999999999997</v>
      </c>
      <c r="AQ86" s="9">
        <f>(V86-MIN($V$2:$V$126))/(MAX($V$2:$V$126)-MIN($V$2:$V$126))</f>
        <v>0.52777777777777779</v>
      </c>
      <c r="AR86" s="9">
        <f>1-(Y86-MIN($Y$2:$Y$126))/(MAX($Y$2:$Y$126)-MIN($Y$2:$Y$126))</f>
        <v>0.98958333333333337</v>
      </c>
      <c r="AS86" s="9">
        <f>1-(AA86-MIN($AA$2:$AA$126))/(MAX($AA$2:$AA$126)-MIN($AA$2:$AA$126))</f>
        <v>0.87912087912087911</v>
      </c>
      <c r="AT86" s="9">
        <f>(K86-MIN($K$2:$K$126))/(MAX($K$2:$K$126)-MIN($K$2:$K$126))</f>
        <v>0.24242424242424243</v>
      </c>
      <c r="AU86" s="9">
        <f>(L86-MIN($L$2:$L$126))/(MAX($L$2:$L$126)-MIN($L$2:$L$126))</f>
        <v>7.654455986878075E-3</v>
      </c>
      <c r="AV86" s="8">
        <f>(AI86*(Tablero!$B$5/100)+AJ86*(Tablero!$B$6/100))*(Tablero!$B$4/100)</f>
        <v>4.0823354393818172E-2</v>
      </c>
      <c r="AW86" s="8">
        <f>(AK86*(Tablero!$B$8/100))*(Tablero!$B$7/100)</f>
        <v>0.10034096444227959</v>
      </c>
      <c r="AX86" s="8">
        <f>(AL86*(Tablero!$B$10/100)+AM86*(Tablero!$B$11/100)+AN86*(Tablero!$B$12/100)+AO86*(Tablero!$B$13/100)+AP86*(Tablero!$B$14/100))*(Tablero!$B$9/100)</f>
        <v>0.12444351431379608</v>
      </c>
      <c r="AY86" s="8">
        <f>(AQ86*(Tablero!$B$16/100)+AR86*(Tablero!$B$17/100)+AS86*(Tablero!$B$18/100))*(Tablero!$B$15/100)</f>
        <v>0.19845371642246643</v>
      </c>
      <c r="AZ86" s="8">
        <f>(AT86*(Tablero!$B$20/100)+AU86*(Tablero!$B$21/100))*(Tablero!$B$19/100)</f>
        <v>6.2519674602780134E-3</v>
      </c>
    </row>
    <row r="87" spans="2:52" x14ac:dyDescent="0.4">
      <c r="B87" t="s">
        <v>225</v>
      </c>
      <c r="C87" t="s">
        <v>226</v>
      </c>
      <c r="D87" s="3">
        <v>22447</v>
      </c>
      <c r="E87" s="3">
        <v>197</v>
      </c>
      <c r="F87">
        <v>48</v>
      </c>
      <c r="G87">
        <v>24.2</v>
      </c>
      <c r="H87">
        <v>35.4</v>
      </c>
      <c r="I87">
        <v>75.599999999999994</v>
      </c>
      <c r="J87">
        <v>37</v>
      </c>
      <c r="K87">
        <v>0.19</v>
      </c>
      <c r="L87">
        <v>73</v>
      </c>
      <c r="M87">
        <v>1</v>
      </c>
      <c r="N87">
        <v>293.26119076999993</v>
      </c>
      <c r="O87" s="3">
        <v>5.43</v>
      </c>
      <c r="P87">
        <v>54</v>
      </c>
      <c r="Q87">
        <v>75.426395939086291</v>
      </c>
      <c r="R87">
        <v>49.24</v>
      </c>
      <c r="S87">
        <v>38.58</v>
      </c>
      <c r="T87">
        <v>54.31</v>
      </c>
      <c r="U87">
        <v>38.07</v>
      </c>
      <c r="V87" s="3">
        <v>165</v>
      </c>
      <c r="W87">
        <v>10</v>
      </c>
      <c r="X87">
        <v>6</v>
      </c>
      <c r="Y87">
        <v>4</v>
      </c>
      <c r="Z87">
        <v>0</v>
      </c>
      <c r="AA87" s="3">
        <v>44.5</v>
      </c>
      <c r="AB87">
        <v>16</v>
      </c>
      <c r="AC87">
        <v>34613.879999999997</v>
      </c>
      <c r="AD87">
        <v>0</v>
      </c>
      <c r="AE87">
        <v>62.5</v>
      </c>
      <c r="AF87">
        <v>8.7899999999999991</v>
      </c>
      <c r="AG87" s="10">
        <f>AV87+AW87+AX87+AY87+AZ87</f>
        <v>0.41208479743189941</v>
      </c>
      <c r="AH87" t="s">
        <v>41</v>
      </c>
      <c r="AI87" s="9">
        <f>(G87-MIN($G$2:$G$126))/(MAX($G$2:$G$126)-MIN($G$2:$G$126))</f>
        <v>0.41549295774647882</v>
      </c>
      <c r="AJ87" s="9">
        <f>(N87-MIN($N$2:$N$126))/(MAX($N$2:$N$126)-MIN($N$2:$N$126))</f>
        <v>6.1852492070483657E-3</v>
      </c>
      <c r="AK87" s="9">
        <f>(O87-MIN($O$2:$O$126))/(MAX($O$2:$O$126)-MIN($O$2:$O$126))</f>
        <v>0.2644909887968826</v>
      </c>
      <c r="AL87" s="9">
        <f>(S87-MIN($S$2:$S$126))/(MAX($S$2:$S$126)-MIN($S$2:$S$126))</f>
        <v>0.65293296089385466</v>
      </c>
      <c r="AM87" s="9">
        <f>(T87-MIN($T$2:$T$126))/(MAX($T$2:$T$126)-MIN($T$2:$T$126))</f>
        <v>0.5052570934754429</v>
      </c>
      <c r="AN87" s="9">
        <f>1-(AC87-MIN($AC$2:$AC$126))/(MAX($AC$2:$AC$126)-MIN($AC$2:$AC$126))</f>
        <v>0.80445603991067149</v>
      </c>
      <c r="AO87" s="9">
        <f>(AD87-MIN($AD$2:$AD$126))/(MAX($AD$2:$AD$126)-MIN($AD$2:$AD$126))</f>
        <v>0</v>
      </c>
      <c r="AP87" s="9">
        <f>1-(AE87-MIN($AE$2:$AE$126))/(MAX($AE$2:$AE$126)-MIN($AE$2:$AE$126))</f>
        <v>0.375</v>
      </c>
      <c r="AQ87" s="9">
        <f>(V87-MIN($V$2:$V$126))/(MAX($V$2:$V$126)-MIN($V$2:$V$126))</f>
        <v>0.45833333333333331</v>
      </c>
      <c r="AR87" s="9">
        <f>1-(Y87-MIN($Y$2:$Y$126))/(MAX($Y$2:$Y$126)-MIN($Y$2:$Y$126))</f>
        <v>0.95833333333333337</v>
      </c>
      <c r="AS87" s="9">
        <f>1-(AA87-MIN($AA$2:$AA$126))/(MAX($AA$2:$AA$126)-MIN($AA$2:$AA$126))</f>
        <v>0.68385460693153011</v>
      </c>
      <c r="AT87" s="9">
        <f>(K87-MIN($K$2:$K$126))/(MAX($K$2:$K$126)-MIN($K$2:$K$126))</f>
        <v>0.42424242424242425</v>
      </c>
      <c r="AU87" s="9">
        <f>(L87-MIN($L$2:$L$126))/(MAX($L$2:$L$126)-MIN($L$2:$L$126))</f>
        <v>9.1580098414434114E-3</v>
      </c>
      <c r="AV87" s="8">
        <f>(AI87*(Tablero!$B$5/100)+AJ87*(Tablero!$B$6/100))*(Tablero!$B$4/100)</f>
        <v>6.2942468582676658E-2</v>
      </c>
      <c r="AW87" s="8">
        <f>(AK87*(Tablero!$B$8/100))*(Tablero!$B$7/100)</f>
        <v>6.6122747199220649E-2</v>
      </c>
      <c r="AX87" s="8">
        <f>(AL87*(Tablero!$B$10/100)+AM87*(Tablero!$B$11/100)+AN87*(Tablero!$B$12/100)+AO87*(Tablero!$B$13/100)+AP87*(Tablero!$B$14/100))*(Tablero!$B$9/100)</f>
        <v>8.9463205624617112E-2</v>
      </c>
      <c r="AY87" s="8">
        <f>(AQ87*(Tablero!$B$16/100)+AR87*(Tablero!$B$17/100)+AS87*(Tablero!$B$18/100))*(Tablero!$B$15/100)</f>
        <v>0.18272136517328827</v>
      </c>
      <c r="AZ87" s="8">
        <f>(AT87*(Tablero!$B$20/100)+AU87*(Tablero!$B$21/100))*(Tablero!$B$19/100)</f>
        <v>1.0835010852096693E-2</v>
      </c>
    </row>
    <row r="88" spans="2:52" hidden="1" x14ac:dyDescent="0.4">
      <c r="B88" t="s">
        <v>213</v>
      </c>
      <c r="C88" t="s">
        <v>214</v>
      </c>
      <c r="D88" s="3">
        <v>9733</v>
      </c>
      <c r="E88" s="3">
        <v>142</v>
      </c>
      <c r="F88">
        <v>26</v>
      </c>
      <c r="G88">
        <v>40.4</v>
      </c>
      <c r="H88">
        <v>44.4</v>
      </c>
      <c r="I88">
        <v>81.7</v>
      </c>
      <c r="J88">
        <v>29</v>
      </c>
      <c r="K88">
        <v>0.2</v>
      </c>
      <c r="L88">
        <v>74</v>
      </c>
      <c r="M88">
        <v>0</v>
      </c>
      <c r="N88">
        <v>0</v>
      </c>
      <c r="O88" s="3">
        <v>0</v>
      </c>
      <c r="P88">
        <v>4</v>
      </c>
      <c r="Q88">
        <v>74.492957746478879</v>
      </c>
      <c r="R88">
        <v>54.93</v>
      </c>
      <c r="S88">
        <v>44.37</v>
      </c>
      <c r="T88">
        <v>23.24</v>
      </c>
      <c r="U88">
        <v>52.82</v>
      </c>
      <c r="V88" s="3">
        <v>55</v>
      </c>
      <c r="W88">
        <v>5</v>
      </c>
      <c r="X88">
        <v>5</v>
      </c>
      <c r="Y88">
        <v>0</v>
      </c>
      <c r="Z88">
        <v>0</v>
      </c>
      <c r="AA88" s="3">
        <v>51.4</v>
      </c>
      <c r="AB88">
        <v>43</v>
      </c>
      <c r="AC88">
        <v>91402.85</v>
      </c>
      <c r="AD88">
        <v>0.19</v>
      </c>
      <c r="AE88">
        <v>79.069999999999993</v>
      </c>
      <c r="AF88">
        <v>2.16</v>
      </c>
      <c r="AG88" s="10">
        <f>AV88+AW88+AX88+AY88+AZ88</f>
        <v>0.32964024320694302</v>
      </c>
      <c r="AH88" t="s">
        <v>41</v>
      </c>
      <c r="AI88" s="9">
        <f>(G88-MIN($G$2:$G$126))/(MAX($G$2:$G$126)-MIN($G$2:$G$126))</f>
        <v>0.79577464788732388</v>
      </c>
      <c r="AJ88" s="9">
        <f>(N88-MIN($N$2:$N$126))/(MAX($N$2:$N$126)-MIN($N$2:$N$126))</f>
        <v>0</v>
      </c>
      <c r="AK88" s="9">
        <f>(O88-MIN($O$2:$O$126))/(MAX($O$2:$O$126)-MIN($O$2:$O$126))</f>
        <v>0</v>
      </c>
      <c r="AL88" s="9">
        <f>(S88-MIN($S$2:$S$126))/(MAX($S$2:$S$126)-MIN($S$2:$S$126))</f>
        <v>0.7877094972067038</v>
      </c>
      <c r="AM88" s="9">
        <f>(T88-MIN($T$2:$T$126))/(MAX($T$2:$T$126)-MIN($T$2:$T$126))</f>
        <v>5.7756013250756133E-2</v>
      </c>
      <c r="AN88" s="9">
        <f>1-(AC88-MIN($AC$2:$AC$126))/(MAX($AC$2:$AC$126)-MIN($AC$2:$AC$126))</f>
        <v>0.22615283408333864</v>
      </c>
      <c r="AO88" s="9">
        <f>(AD88-MIN($AD$2:$AD$126))/(MAX($AD$2:$AD$126)-MIN($AD$2:$AD$126))</f>
        <v>0.11377245508982037</v>
      </c>
      <c r="AP88" s="9">
        <f>1-(AE88-MIN($AE$2:$AE$126))/(MAX($AE$2:$AE$126)-MIN($AE$2:$AE$126))</f>
        <v>0.20930000000000004</v>
      </c>
      <c r="AQ88" s="9">
        <f>(V88-MIN($V$2:$V$126))/(MAX($V$2:$V$126)-MIN($V$2:$V$126))</f>
        <v>0.15277777777777779</v>
      </c>
      <c r="AR88" s="9">
        <f>1-(Y88-MIN($Y$2:$Y$126))/(MAX($Y$2:$Y$126)-MIN($Y$2:$Y$126))</f>
        <v>1</v>
      </c>
      <c r="AS88" s="9">
        <f>1-(AA88-MIN($AA$2:$AA$126))/(MAX($AA$2:$AA$126)-MIN($AA$2:$AA$126))</f>
        <v>0.62552831783601026</v>
      </c>
      <c r="AT88" s="9">
        <f>(K88-MIN($K$2:$K$126))/(MAX($K$2:$K$126)-MIN($K$2:$K$126))</f>
        <v>0.45454545454545459</v>
      </c>
      <c r="AU88" s="9">
        <f>(L88-MIN($L$2:$L$126))/(MAX($L$2:$L$126)-MIN($L$2:$L$126))</f>
        <v>9.2946965554948063E-3</v>
      </c>
      <c r="AV88" s="8">
        <f>(AI88*(Tablero!$B$5/100)+AJ88*(Tablero!$B$6/100))*(Tablero!$B$4/100)</f>
        <v>0.11936619718309857</v>
      </c>
      <c r="AW88" s="8">
        <f>(AK88*(Tablero!$B$8/100))*(Tablero!$B$7/100)</f>
        <v>0</v>
      </c>
      <c r="AX88" s="8">
        <f>(AL88*(Tablero!$B$10/100)+AM88*(Tablero!$B$11/100)+AN88*(Tablero!$B$12/100)+AO88*(Tablero!$B$13/100)+AP88*(Tablero!$B$14/100))*(Tablero!$B$9/100)</f>
        <v>4.2762056522642637E-2</v>
      </c>
      <c r="AY88" s="8">
        <f>(AQ88*(Tablero!$B$16/100)+AR88*(Tablero!$B$17/100)+AS88*(Tablero!$B$18/100))*(Tablero!$B$15/100)</f>
        <v>0.15591598572367804</v>
      </c>
      <c r="AZ88" s="8">
        <f>(AT88*(Tablero!$B$20/100)+AU88*(Tablero!$B$21/100))*(Tablero!$B$19/100)</f>
        <v>1.1596003777523735E-2</v>
      </c>
    </row>
    <row r="89" spans="2:52" hidden="1" x14ac:dyDescent="0.4">
      <c r="B89" t="s">
        <v>215</v>
      </c>
      <c r="C89" t="s">
        <v>216</v>
      </c>
      <c r="D89" s="3">
        <v>18058</v>
      </c>
      <c r="E89" s="3">
        <v>171</v>
      </c>
      <c r="F89">
        <v>62</v>
      </c>
      <c r="G89">
        <v>26.2</v>
      </c>
      <c r="H89">
        <v>57.1</v>
      </c>
      <c r="I89">
        <v>63.7</v>
      </c>
      <c r="J89">
        <v>34</v>
      </c>
      <c r="K89">
        <v>0.2</v>
      </c>
      <c r="L89">
        <v>72</v>
      </c>
      <c r="M89">
        <v>1</v>
      </c>
      <c r="N89">
        <v>169.35659061000001</v>
      </c>
      <c r="O89" s="3">
        <v>5.13</v>
      </c>
      <c r="P89">
        <v>33</v>
      </c>
      <c r="Q89">
        <v>73.257309941520461</v>
      </c>
      <c r="R89">
        <v>43.86</v>
      </c>
      <c r="S89">
        <v>14.04</v>
      </c>
      <c r="T89">
        <v>81.87</v>
      </c>
      <c r="U89">
        <v>59.65</v>
      </c>
      <c r="V89" s="3">
        <v>60</v>
      </c>
      <c r="W89">
        <v>9</v>
      </c>
      <c r="X89">
        <v>9</v>
      </c>
      <c r="Y89">
        <v>0</v>
      </c>
      <c r="Z89">
        <v>0</v>
      </c>
      <c r="AA89" s="3">
        <v>49.8</v>
      </c>
      <c r="AB89">
        <v>20</v>
      </c>
      <c r="AC89">
        <v>47656.47</v>
      </c>
      <c r="AD89">
        <v>0</v>
      </c>
      <c r="AE89">
        <v>55</v>
      </c>
      <c r="AF89">
        <v>3.02</v>
      </c>
      <c r="AG89" s="10">
        <f>AV89+AW89+AX89+AY89+AZ89</f>
        <v>0.40662418345700407</v>
      </c>
      <c r="AH89" t="s">
        <v>41</v>
      </c>
      <c r="AI89" s="9">
        <f>(G89-MIN($G$2:$G$126))/(MAX($G$2:$G$126)-MIN($G$2:$G$126))</f>
        <v>0.46244131455399057</v>
      </c>
      <c r="AJ89" s="9">
        <f>(N89-MIN($N$2:$N$126))/(MAX($N$2:$N$126)-MIN($N$2:$N$126))</f>
        <v>3.5719445693735341E-3</v>
      </c>
      <c r="AK89" s="9">
        <f>(O89-MIN($O$2:$O$126))/(MAX($O$2:$O$126)-MIN($O$2:$O$126))</f>
        <v>0.24987822698490011</v>
      </c>
      <c r="AL89" s="9">
        <f>(S89-MIN($S$2:$S$126))/(MAX($S$2:$S$126)-MIN($S$2:$S$126))</f>
        <v>8.170391061452513E-2</v>
      </c>
      <c r="AM89" s="9">
        <f>(T89-MIN($T$2:$T$126))/(MAX($T$2:$T$126)-MIN($T$2:$T$126))</f>
        <v>0.90220365836093919</v>
      </c>
      <c r="AN89" s="9">
        <f>1-(AC89-MIN($AC$2:$AC$126))/(MAX($AC$2:$AC$126)-MIN($AC$2:$AC$126))</f>
        <v>0.67163849436808598</v>
      </c>
      <c r="AO89" s="9">
        <f>(AD89-MIN($AD$2:$AD$126))/(MAX($AD$2:$AD$126)-MIN($AD$2:$AD$126))</f>
        <v>0</v>
      </c>
      <c r="AP89" s="9">
        <f>1-(AE89-MIN($AE$2:$AE$126))/(MAX($AE$2:$AE$126)-MIN($AE$2:$AE$126))</f>
        <v>0.44999999999999996</v>
      </c>
      <c r="AQ89" s="9">
        <f>(V89-MIN($V$2:$V$126))/(MAX($V$2:$V$126)-MIN($V$2:$V$126))</f>
        <v>0.16666666666666666</v>
      </c>
      <c r="AR89" s="9">
        <f>1-(Y89-MIN($Y$2:$Y$126))/(MAX($Y$2:$Y$126)-MIN($Y$2:$Y$126))</f>
        <v>1</v>
      </c>
      <c r="AS89" s="9">
        <f>1-(AA89-MIN($AA$2:$AA$126))/(MAX($AA$2:$AA$126)-MIN($AA$2:$AA$126))</f>
        <v>0.63905325443786987</v>
      </c>
      <c r="AT89" s="9">
        <f>(K89-MIN($K$2:$K$126))/(MAX($K$2:$K$126)-MIN($K$2:$K$126))</f>
        <v>0.45454545454545459</v>
      </c>
      <c r="AU89" s="9">
        <f>(L89-MIN($L$2:$L$126))/(MAX($L$2:$L$126)-MIN($L$2:$L$126))</f>
        <v>9.0213231273920183E-3</v>
      </c>
      <c r="AV89" s="8">
        <f>(AI89*(Tablero!$B$5/100)+AJ89*(Tablero!$B$6/100))*(Tablero!$B$4/100)</f>
        <v>6.9723391640035937E-2</v>
      </c>
      <c r="AW89" s="8">
        <f>(AK89*(Tablero!$B$8/100))*(Tablero!$B$7/100)</f>
        <v>6.2469556746225029E-2</v>
      </c>
      <c r="AX89" s="8">
        <f>(AL89*(Tablero!$B$10/100)+AM89*(Tablero!$B$11/100)+AN89*(Tablero!$B$12/100)+AO89*(Tablero!$B$13/100)+AP89*(Tablero!$B$14/100))*(Tablero!$B$9/100)</f>
        <v>0.10519906760130858</v>
      </c>
      <c r="AY89" s="8">
        <f>(AQ89*(Tablero!$B$16/100)+AR89*(Tablero!$B$17/100)+AS89*(Tablero!$B$18/100))*(Tablero!$B$15/100)</f>
        <v>0.15764299802761342</v>
      </c>
      <c r="AZ89" s="8">
        <f>(AT89*(Tablero!$B$20/100)+AU89*(Tablero!$B$21/100))*(Tablero!$B$19/100)</f>
        <v>1.1589169441821166E-2</v>
      </c>
    </row>
    <row r="90" spans="2:52" hidden="1" x14ac:dyDescent="0.4">
      <c r="B90" t="s">
        <v>217</v>
      </c>
      <c r="C90" t="s">
        <v>218</v>
      </c>
      <c r="D90" s="3">
        <v>19613</v>
      </c>
      <c r="E90" s="3">
        <v>205</v>
      </c>
      <c r="F90">
        <v>57</v>
      </c>
      <c r="G90">
        <v>29.3</v>
      </c>
      <c r="H90">
        <v>48.9</v>
      </c>
      <c r="I90">
        <v>72.2</v>
      </c>
      <c r="J90">
        <v>40</v>
      </c>
      <c r="K90">
        <v>0.2</v>
      </c>
      <c r="L90">
        <v>115</v>
      </c>
      <c r="M90">
        <v>0</v>
      </c>
      <c r="N90">
        <v>241.13951660000001</v>
      </c>
      <c r="O90" s="3">
        <v>8.0399999999999991</v>
      </c>
      <c r="P90">
        <v>30</v>
      </c>
      <c r="Q90">
        <v>72.634146341463421</v>
      </c>
      <c r="R90">
        <v>51.71</v>
      </c>
      <c r="S90">
        <v>35.61</v>
      </c>
      <c r="T90">
        <v>34.15</v>
      </c>
      <c r="U90">
        <v>55.61</v>
      </c>
      <c r="V90" s="3">
        <v>70</v>
      </c>
      <c r="W90">
        <v>9</v>
      </c>
      <c r="X90">
        <v>8</v>
      </c>
      <c r="Y90">
        <v>1</v>
      </c>
      <c r="Z90">
        <v>0</v>
      </c>
      <c r="AA90" s="3">
        <v>45.9</v>
      </c>
      <c r="AB90">
        <v>45</v>
      </c>
      <c r="AC90">
        <v>29324.13</v>
      </c>
      <c r="AD90">
        <v>0.04</v>
      </c>
      <c r="AE90">
        <v>28.89</v>
      </c>
      <c r="AF90">
        <v>3.51</v>
      </c>
      <c r="AG90" s="10">
        <f>AV90+AW90+AX90+AY90+AZ90</f>
        <v>0.44947781602570497</v>
      </c>
      <c r="AH90" t="s">
        <v>41</v>
      </c>
      <c r="AI90" s="9">
        <f>(G90-MIN($G$2:$G$126))/(MAX($G$2:$G$126)-MIN($G$2:$G$126))</f>
        <v>0.53521126760563376</v>
      </c>
      <c r="AJ90" s="9">
        <f>(N90-MIN($N$2:$N$126))/(MAX($N$2:$N$126)-MIN($N$2:$N$126))</f>
        <v>5.0859372149516437E-3</v>
      </c>
      <c r="AK90" s="9">
        <f>(O90-MIN($O$2:$O$126))/(MAX($O$2:$O$126)-MIN($O$2:$O$126))</f>
        <v>0.39162201656112999</v>
      </c>
      <c r="AL90" s="9">
        <f>(S90-MIN($S$2:$S$126))/(MAX($S$2:$S$126)-MIN($S$2:$S$126))</f>
        <v>0.58379888268156421</v>
      </c>
      <c r="AM90" s="9">
        <f>(T90-MIN($T$2:$T$126))/(MAX($T$2:$T$126)-MIN($T$2:$T$126))</f>
        <v>0.21489269768111766</v>
      </c>
      <c r="AN90" s="9">
        <f>1-(AC90-MIN($AC$2:$AC$126))/(MAX($AC$2:$AC$126)-MIN($AC$2:$AC$126))</f>
        <v>0.8583235318378033</v>
      </c>
      <c r="AO90" s="9">
        <f>(AD90-MIN($AD$2:$AD$126))/(MAX($AD$2:$AD$126)-MIN($AD$2:$AD$126))</f>
        <v>2.3952095808383235E-2</v>
      </c>
      <c r="AP90" s="9">
        <f>1-(AE90-MIN($AE$2:$AE$126))/(MAX($AE$2:$AE$126)-MIN($AE$2:$AE$126))</f>
        <v>0.71110000000000007</v>
      </c>
      <c r="AQ90" s="9">
        <f>(V90-MIN($V$2:$V$126))/(MAX($V$2:$V$126)-MIN($V$2:$V$126))</f>
        <v>0.19444444444444445</v>
      </c>
      <c r="AR90" s="9">
        <f>1-(Y90-MIN($Y$2:$Y$126))/(MAX($Y$2:$Y$126)-MIN($Y$2:$Y$126))</f>
        <v>0.98958333333333337</v>
      </c>
      <c r="AS90" s="9">
        <f>1-(AA90-MIN($AA$2:$AA$126))/(MAX($AA$2:$AA$126)-MIN($AA$2:$AA$126))</f>
        <v>0.67202028740490283</v>
      </c>
      <c r="AT90" s="9">
        <f>(K90-MIN($K$2:$K$126))/(MAX($K$2:$K$126)-MIN($K$2:$K$126))</f>
        <v>0.45454545454545459</v>
      </c>
      <c r="AU90" s="9">
        <f>(L90-MIN($L$2:$L$126))/(MAX($L$2:$L$126)-MIN($L$2:$L$126))</f>
        <v>1.4898851831601969E-2</v>
      </c>
      <c r="AV90" s="8">
        <f>(AI90*(Tablero!$B$5/100)+AJ90*(Tablero!$B$6/100))*(Tablero!$B$4/100)</f>
        <v>8.0790283862340231E-2</v>
      </c>
      <c r="AW90" s="8">
        <f>(AK90*(Tablero!$B$8/100))*(Tablero!$B$7/100)</f>
        <v>9.7905504140282498E-2</v>
      </c>
      <c r="AX90" s="8">
        <f>(AL90*(Tablero!$B$10/100)+AM90*(Tablero!$B$11/100)+AN90*(Tablero!$B$12/100)+AO90*(Tablero!$B$13/100)+AP90*(Tablero!$B$14/100))*(Tablero!$B$9/100)</f>
        <v>9.9103052067422093E-2</v>
      </c>
      <c r="AY90" s="8">
        <f>(AQ90*(Tablero!$B$16/100)+AR90*(Tablero!$B$17/100)+AS90*(Tablero!$B$18/100))*(Tablero!$B$15/100)</f>
        <v>0.15994286829623369</v>
      </c>
      <c r="AZ90" s="8">
        <f>(AT90*(Tablero!$B$20/100)+AU90*(Tablero!$B$21/100))*(Tablero!$B$19/100)</f>
        <v>1.1736107659426414E-2</v>
      </c>
    </row>
    <row r="91" spans="2:52" hidden="1" x14ac:dyDescent="0.4">
      <c r="B91" t="s">
        <v>219</v>
      </c>
      <c r="C91" t="s">
        <v>220</v>
      </c>
      <c r="D91" s="3">
        <v>75614</v>
      </c>
      <c r="E91" s="3">
        <v>427</v>
      </c>
      <c r="F91">
        <v>96</v>
      </c>
      <c r="G91">
        <v>15.9</v>
      </c>
      <c r="H91">
        <v>21.5</v>
      </c>
      <c r="I91">
        <v>77.5</v>
      </c>
      <c r="J91">
        <v>94</v>
      </c>
      <c r="K91">
        <v>0.22</v>
      </c>
      <c r="L91">
        <v>150</v>
      </c>
      <c r="M91">
        <v>2</v>
      </c>
      <c r="N91">
        <v>335.63186484999989</v>
      </c>
      <c r="O91" s="3">
        <v>6.85</v>
      </c>
      <c r="P91">
        <v>49</v>
      </c>
      <c r="Q91">
        <v>67.796252927400474</v>
      </c>
      <c r="R91">
        <v>51.05</v>
      </c>
      <c r="S91">
        <v>33.49</v>
      </c>
      <c r="T91">
        <v>71.900000000000006</v>
      </c>
      <c r="U91">
        <v>44.73</v>
      </c>
      <c r="V91" s="3">
        <v>185</v>
      </c>
      <c r="W91">
        <v>17</v>
      </c>
      <c r="X91">
        <v>14</v>
      </c>
      <c r="Y91">
        <v>2</v>
      </c>
      <c r="Z91">
        <v>1</v>
      </c>
      <c r="AA91" s="3">
        <v>22.5</v>
      </c>
      <c r="AB91">
        <v>235</v>
      </c>
      <c r="AC91">
        <v>54628.65</v>
      </c>
      <c r="AD91">
        <v>0.61</v>
      </c>
      <c r="AE91">
        <v>39.15</v>
      </c>
      <c r="AF91">
        <v>3.35</v>
      </c>
      <c r="AG91" s="10">
        <f>AV91+AW91+AX91+AY91+AZ91</f>
        <v>0.45032565481826481</v>
      </c>
      <c r="AH91" t="s">
        <v>41</v>
      </c>
      <c r="AI91" s="9">
        <f>(G91-MIN($G$2:$G$126))/(MAX($G$2:$G$126)-MIN($G$2:$G$126))</f>
        <v>0.22065727699530516</v>
      </c>
      <c r="AJ91" s="9">
        <f>(N91-MIN($N$2:$N$126))/(MAX($N$2:$N$126)-MIN($N$2:$N$126))</f>
        <v>7.0789002815983704E-3</v>
      </c>
      <c r="AK91" s="9">
        <f>(O91-MIN($O$2:$O$126))/(MAX($O$2:$O$126)-MIN($O$2:$O$126))</f>
        <v>0.3336580613735996</v>
      </c>
      <c r="AL91" s="9">
        <f>(S91-MIN($S$2:$S$126))/(MAX($S$2:$S$126)-MIN($S$2:$S$126))</f>
        <v>0.53445065176908757</v>
      </c>
      <c r="AM91" s="9">
        <f>(T91-MIN($T$2:$T$126))/(MAX($T$2:$T$126)-MIN($T$2:$T$126))</f>
        <v>0.75860579000432105</v>
      </c>
      <c r="AN91" s="9">
        <f>1-(AC91-MIN($AC$2:$AC$126))/(MAX($AC$2:$AC$126)-MIN($AC$2:$AC$126))</f>
        <v>0.60063819192193835</v>
      </c>
      <c r="AO91" s="9">
        <f>(AD91-MIN($AD$2:$AD$126))/(MAX($AD$2:$AD$126)-MIN($AD$2:$AD$126))</f>
        <v>0.3652694610778443</v>
      </c>
      <c r="AP91" s="9">
        <f>1-(AE91-MIN($AE$2:$AE$126))/(MAX($AE$2:$AE$126)-MIN($AE$2:$AE$126))</f>
        <v>0.60850000000000004</v>
      </c>
      <c r="AQ91" s="9">
        <f>(V91-MIN($V$2:$V$126))/(MAX($V$2:$V$126)-MIN($V$2:$V$126))</f>
        <v>0.51388888888888884</v>
      </c>
      <c r="AR91" s="9">
        <f>1-(Y91-MIN($Y$2:$Y$126))/(MAX($Y$2:$Y$126)-MIN($Y$2:$Y$126))</f>
        <v>0.97916666666666663</v>
      </c>
      <c r="AS91" s="9">
        <f>1-(AA91-MIN($AA$2:$AA$126))/(MAX($AA$2:$AA$126)-MIN($AA$2:$AA$126))</f>
        <v>0.86982248520710059</v>
      </c>
      <c r="AT91" s="9">
        <f>(K91-MIN($K$2:$K$126))/(MAX($K$2:$K$126)-MIN($K$2:$K$126))</f>
        <v>0.51515151515151503</v>
      </c>
      <c r="AU91" s="9">
        <f>(L91-MIN($L$2:$L$126))/(MAX($L$2:$L$126)-MIN($L$2:$L$126))</f>
        <v>1.9682886823400764E-2</v>
      </c>
      <c r="AV91" s="8">
        <f>(AI91*(Tablero!$B$5/100)+AJ91*(Tablero!$B$6/100))*(Tablero!$B$4/100)</f>
        <v>3.380648157745561E-2</v>
      </c>
      <c r="AW91" s="8">
        <f>(AK91*(Tablero!$B$8/100))*(Tablero!$B$7/100)</f>
        <v>8.34145153433999E-2</v>
      </c>
      <c r="AX91" s="8">
        <f>(AL91*(Tablero!$B$10/100)+AM91*(Tablero!$B$11/100)+AN91*(Tablero!$B$12/100)+AO91*(Tablero!$B$13/100)+AP91*(Tablero!$B$14/100))*(Tablero!$B$9/100)</f>
        <v>0.12420351349563669</v>
      </c>
      <c r="AY91" s="8">
        <f>(AQ91*(Tablero!$B$16/100)+AR91*(Tablero!$B$17/100)+AS91*(Tablero!$B$18/100))*(Tablero!$B$15/100)</f>
        <v>0.19553028435239972</v>
      </c>
      <c r="AZ91" s="8">
        <f>(AT91*(Tablero!$B$20/100)+AU91*(Tablero!$B$21/100))*(Tablero!$B$19/100)</f>
        <v>1.3370860049372896E-2</v>
      </c>
    </row>
    <row r="92" spans="2:52" x14ac:dyDescent="0.4">
      <c r="B92" t="s">
        <v>251</v>
      </c>
      <c r="C92" t="s">
        <v>252</v>
      </c>
      <c r="D92" s="3">
        <v>21870</v>
      </c>
      <c r="E92" s="3">
        <v>186</v>
      </c>
      <c r="F92">
        <v>51</v>
      </c>
      <c r="G92">
        <v>24.2</v>
      </c>
      <c r="H92">
        <v>39.9</v>
      </c>
      <c r="I92">
        <v>72.599999999999994</v>
      </c>
      <c r="J92">
        <v>29</v>
      </c>
      <c r="K92">
        <v>0.16</v>
      </c>
      <c r="L92">
        <v>88</v>
      </c>
      <c r="M92">
        <v>0</v>
      </c>
      <c r="N92">
        <v>197.6631601</v>
      </c>
      <c r="O92" s="3">
        <v>6.59</v>
      </c>
      <c r="P92">
        <v>30</v>
      </c>
      <c r="Q92">
        <v>74.295698924731184</v>
      </c>
      <c r="R92">
        <v>45.16</v>
      </c>
      <c r="S92">
        <v>17.2</v>
      </c>
      <c r="T92">
        <v>63.44</v>
      </c>
      <c r="U92">
        <v>61.29</v>
      </c>
      <c r="V92" s="3">
        <v>45</v>
      </c>
      <c r="W92">
        <v>9</v>
      </c>
      <c r="X92">
        <v>8</v>
      </c>
      <c r="Y92">
        <v>1</v>
      </c>
      <c r="Z92">
        <v>0</v>
      </c>
      <c r="AA92" s="3">
        <v>41.2</v>
      </c>
      <c r="AB92">
        <v>212</v>
      </c>
      <c r="AC92">
        <v>52371.93</v>
      </c>
      <c r="AD92">
        <v>0.35</v>
      </c>
      <c r="AE92">
        <v>40.090000000000003</v>
      </c>
      <c r="AF92">
        <v>3.58</v>
      </c>
      <c r="AG92" s="10">
        <f>AV92+AW92+AX92+AY92+AZ92</f>
        <v>0.41149706154575949</v>
      </c>
      <c r="AH92" t="s">
        <v>41</v>
      </c>
      <c r="AI92" s="9">
        <f>(G92-MIN($G$2:$G$126))/(MAX($G$2:$G$126)-MIN($G$2:$G$126))</f>
        <v>0.41549295774647882</v>
      </c>
      <c r="AJ92" s="9">
        <f>(N92-MIN($N$2:$N$126))/(MAX($N$2:$N$126)-MIN($N$2:$N$126))</f>
        <v>4.1689659005376594E-3</v>
      </c>
      <c r="AK92" s="9">
        <f>(O92-MIN($O$2:$O$126))/(MAX($O$2:$O$126)-MIN($O$2:$O$126))</f>
        <v>0.32099366780321481</v>
      </c>
      <c r="AL92" s="9">
        <f>(S92-MIN($S$2:$S$126))/(MAX($S$2:$S$126)-MIN($S$2:$S$126))</f>
        <v>0.15526070763500929</v>
      </c>
      <c r="AM92" s="9">
        <f>(T92-MIN($T$2:$T$126))/(MAX($T$2:$T$126)-MIN($T$2:$T$126))</f>
        <v>0.63675644534063081</v>
      </c>
      <c r="AN92" s="9">
        <f>1-(AC92-MIN($AC$2:$AC$126))/(MAX($AC$2:$AC$126)-MIN($AC$2:$AC$126))</f>
        <v>0.62361921113490615</v>
      </c>
      <c r="AO92" s="9">
        <f>(AD92-MIN($AD$2:$AD$126))/(MAX($AD$2:$AD$126)-MIN($AD$2:$AD$126))</f>
        <v>0.20958083832335328</v>
      </c>
      <c r="AP92" s="9">
        <f>1-(AE92-MIN($AE$2:$AE$126))/(MAX($AE$2:$AE$126)-MIN($AE$2:$AE$126))</f>
        <v>0.59909999999999997</v>
      </c>
      <c r="AQ92" s="9">
        <f>(V92-MIN($V$2:$V$126))/(MAX($V$2:$V$126)-MIN($V$2:$V$126))</f>
        <v>0.125</v>
      </c>
      <c r="AR92" s="9">
        <f>1-(Y92-MIN($Y$2:$Y$126))/(MAX($Y$2:$Y$126)-MIN($Y$2:$Y$126))</f>
        <v>0.98958333333333337</v>
      </c>
      <c r="AS92" s="9">
        <f>1-(AA92-MIN($AA$2:$AA$126))/(MAX($AA$2:$AA$126)-MIN($AA$2:$AA$126))</f>
        <v>0.71174978867286565</v>
      </c>
      <c r="AT92" s="9">
        <f>(K92-MIN($K$2:$K$126))/(MAX($K$2:$K$126)-MIN($K$2:$K$126))</f>
        <v>0.33333333333333331</v>
      </c>
      <c r="AU92" s="9">
        <f>(L92-MIN($L$2:$L$126))/(MAX($L$2:$L$126)-MIN($L$2:$L$126))</f>
        <v>1.1208310552214325E-2</v>
      </c>
      <c r="AV92" s="8">
        <f>(AI92*(Tablero!$B$5/100)+AJ92*(Tablero!$B$6/100))*(Tablero!$B$4/100)</f>
        <v>6.2740840252025587E-2</v>
      </c>
      <c r="AW92" s="8">
        <f>(AK92*(Tablero!$B$8/100))*(Tablero!$B$7/100)</f>
        <v>8.0248416950803703E-2</v>
      </c>
      <c r="AX92" s="8">
        <f>(AL92*(Tablero!$B$10/100)+AM92*(Tablero!$B$11/100)+AN92*(Tablero!$B$12/100)+AO92*(Tablero!$B$13/100)+AP92*(Tablero!$B$14/100))*(Tablero!$B$9/100)</f>
        <v>0.10590260186230323</v>
      </c>
      <c r="AY92" s="8">
        <f>(AQ92*(Tablero!$B$16/100)+AR92*(Tablero!$B$17/100)+AS92*(Tablero!$B$18/100))*(Tablero!$B$15/100)</f>
        <v>0.1539916613834883</v>
      </c>
      <c r="AZ92" s="8">
        <f>(AT92*(Tablero!$B$20/100)+AU92*(Tablero!$B$21/100))*(Tablero!$B$19/100)</f>
        <v>8.6135410971386918E-3</v>
      </c>
    </row>
    <row r="93" spans="2:52" x14ac:dyDescent="0.4">
      <c r="B93" t="s">
        <v>211</v>
      </c>
      <c r="C93" t="s">
        <v>212</v>
      </c>
      <c r="D93" s="3">
        <v>28283</v>
      </c>
      <c r="E93" s="3">
        <v>206</v>
      </c>
      <c r="F93">
        <v>72</v>
      </c>
      <c r="G93">
        <v>21.2</v>
      </c>
      <c r="H93">
        <v>44.5</v>
      </c>
      <c r="I93">
        <v>65</v>
      </c>
      <c r="J93">
        <v>46</v>
      </c>
      <c r="K93">
        <v>0.22</v>
      </c>
      <c r="L93">
        <v>125</v>
      </c>
      <c r="M93">
        <v>1</v>
      </c>
      <c r="N93">
        <v>353.06747556999989</v>
      </c>
      <c r="O93" s="3">
        <v>8.83</v>
      </c>
      <c r="P93">
        <v>40</v>
      </c>
      <c r="Q93">
        <v>68.830097087378647</v>
      </c>
      <c r="R93">
        <v>53.88</v>
      </c>
      <c r="S93">
        <v>30.58</v>
      </c>
      <c r="T93">
        <v>21.84</v>
      </c>
      <c r="U93">
        <v>46.12</v>
      </c>
      <c r="V93" s="3">
        <v>40</v>
      </c>
      <c r="W93">
        <v>7</v>
      </c>
      <c r="X93">
        <v>6</v>
      </c>
      <c r="Y93">
        <v>0</v>
      </c>
      <c r="Z93">
        <v>1</v>
      </c>
      <c r="AA93" s="3">
        <v>24.7</v>
      </c>
      <c r="AB93">
        <v>68</v>
      </c>
      <c r="AC93">
        <v>41952.95</v>
      </c>
      <c r="AD93">
        <v>7.0000000000000007E-2</v>
      </c>
      <c r="AE93">
        <v>38.24</v>
      </c>
      <c r="AF93">
        <v>1.75</v>
      </c>
      <c r="AG93" s="10">
        <f>AV93+AW93+AX93+AY93+AZ93</f>
        <v>0.4071384721808482</v>
      </c>
      <c r="AH93" t="s">
        <v>41</v>
      </c>
      <c r="AI93" s="9">
        <f>(G93-MIN($G$2:$G$126))/(MAX($G$2:$G$126)-MIN($G$2:$G$126))</f>
        <v>0.34507042253521125</v>
      </c>
      <c r="AJ93" s="9">
        <f>(N93-MIN($N$2:$N$126))/(MAX($N$2:$N$126)-MIN($N$2:$N$126))</f>
        <v>7.4466393509826445E-3</v>
      </c>
      <c r="AK93" s="9">
        <f>(O93-MIN($O$2:$O$126))/(MAX($O$2:$O$126)-MIN($O$2:$O$126))</f>
        <v>0.43010228933268385</v>
      </c>
      <c r="AL93" s="9">
        <f>(S93-MIN($S$2:$S$126))/(MAX($S$2:$S$126)-MIN($S$2:$S$126))</f>
        <v>0.4667132216014897</v>
      </c>
      <c r="AM93" s="9">
        <f>(T93-MIN($T$2:$T$126))/(MAX($T$2:$T$126)-MIN($T$2:$T$126))</f>
        <v>3.7591819098372455E-2</v>
      </c>
      <c r="AN93" s="9">
        <f>1-(AC93-MIN($AC$2:$AC$126))/(MAX($AC$2:$AC$126)-MIN($AC$2:$AC$126))</f>
        <v>0.72971956011906403</v>
      </c>
      <c r="AO93" s="9">
        <f>(AD93-MIN($AD$2:$AD$126))/(MAX($AD$2:$AD$126)-MIN($AD$2:$AD$126))</f>
        <v>4.1916167664670663E-2</v>
      </c>
      <c r="AP93" s="9">
        <f>1-(AE93-MIN($AE$2:$AE$126))/(MAX($AE$2:$AE$126)-MIN($AE$2:$AE$126))</f>
        <v>0.61759999999999993</v>
      </c>
      <c r="AQ93" s="9">
        <f>(V93-MIN($V$2:$V$126))/(MAX($V$2:$V$126)-MIN($V$2:$V$126))</f>
        <v>0.1111111111111111</v>
      </c>
      <c r="AR93" s="9">
        <f>1-(Y93-MIN($Y$2:$Y$126))/(MAX($Y$2:$Y$126)-MIN($Y$2:$Y$126))</f>
        <v>1</v>
      </c>
      <c r="AS93" s="9">
        <f>1-(AA93-MIN($AA$2:$AA$126))/(MAX($AA$2:$AA$126)-MIN($AA$2:$AA$126))</f>
        <v>0.85122569737954357</v>
      </c>
      <c r="AT93" s="9">
        <f>(K93-MIN($K$2:$K$126))/(MAX($K$2:$K$126)-MIN($K$2:$K$126))</f>
        <v>0.51515151515151503</v>
      </c>
      <c r="AU93" s="9">
        <f>(L93-MIN($L$2:$L$126))/(MAX($L$2:$L$126)-MIN($L$2:$L$126))</f>
        <v>1.6265718972115911E-2</v>
      </c>
      <c r="AV93" s="8">
        <f>(AI93*(Tablero!$B$5/100)+AJ93*(Tablero!$B$6/100))*(Tablero!$B$4/100)</f>
        <v>5.2505227315379946E-2</v>
      </c>
      <c r="AW93" s="8">
        <f>(AK93*(Tablero!$B$8/100))*(Tablero!$B$7/100)</f>
        <v>0.10752557233317096</v>
      </c>
      <c r="AX93" s="8">
        <f>(AL93*(Tablero!$B$10/100)+AM93*(Tablero!$B$11/100)+AN93*(Tablero!$B$12/100)+AO93*(Tablero!$B$13/100)+AP93*(Tablero!$B$14/100))*(Tablero!$B$9/100)</f>
        <v>7.6430488133606839E-2</v>
      </c>
      <c r="AY93" s="8">
        <f>(AQ93*(Tablero!$B$16/100)+AR93*(Tablero!$B$17/100)+AS93*(Tablero!$B$18/100))*(Tablero!$B$15/100)</f>
        <v>0.1573917535455997</v>
      </c>
      <c r="AZ93" s="8">
        <f>(AT93*(Tablero!$B$20/100)+AU93*(Tablero!$B$21/100))*(Tablero!$B$19/100)</f>
        <v>1.3285430853090774E-2</v>
      </c>
    </row>
    <row r="94" spans="2:52" x14ac:dyDescent="0.4">
      <c r="B94" t="s">
        <v>259</v>
      </c>
      <c r="C94" t="s">
        <v>260</v>
      </c>
      <c r="D94" s="3">
        <v>24382</v>
      </c>
      <c r="E94" s="3">
        <v>213</v>
      </c>
      <c r="F94">
        <v>69</v>
      </c>
      <c r="G94">
        <v>24.4</v>
      </c>
      <c r="H94">
        <v>47.5</v>
      </c>
      <c r="I94">
        <v>67.599999999999994</v>
      </c>
      <c r="J94">
        <v>39</v>
      </c>
      <c r="K94">
        <v>0.18</v>
      </c>
      <c r="L94">
        <v>123</v>
      </c>
      <c r="M94">
        <v>3</v>
      </c>
      <c r="N94">
        <v>245.6415245499999</v>
      </c>
      <c r="O94" s="3">
        <v>6.3</v>
      </c>
      <c r="P94">
        <v>39</v>
      </c>
      <c r="Q94">
        <v>71.173708920187792</v>
      </c>
      <c r="R94">
        <v>49.3</v>
      </c>
      <c r="S94">
        <v>14.55</v>
      </c>
      <c r="T94">
        <v>46.01</v>
      </c>
      <c r="U94">
        <v>58.22</v>
      </c>
      <c r="V94" s="3">
        <v>70</v>
      </c>
      <c r="W94">
        <v>4</v>
      </c>
      <c r="X94">
        <v>3</v>
      </c>
      <c r="Y94">
        <v>1</v>
      </c>
      <c r="Z94">
        <v>0</v>
      </c>
      <c r="AA94" s="3">
        <v>16.399999999999999</v>
      </c>
      <c r="AB94">
        <v>119</v>
      </c>
      <c r="AC94">
        <v>61969.32</v>
      </c>
      <c r="AD94">
        <v>0.13</v>
      </c>
      <c r="AE94">
        <v>36.130000000000003</v>
      </c>
      <c r="AF94">
        <v>2.67</v>
      </c>
      <c r="AG94" s="10">
        <f>AV94+AW94+AX94+AY94+AZ94</f>
        <v>0.40487340647130798</v>
      </c>
      <c r="AH94" t="s">
        <v>41</v>
      </c>
      <c r="AI94" s="9">
        <f>(G94-MIN($G$2:$G$126))/(MAX($G$2:$G$126)-MIN($G$2:$G$126))</f>
        <v>0.42018779342723001</v>
      </c>
      <c r="AJ94" s="9">
        <f>(N94-MIN($N$2:$N$126))/(MAX($N$2:$N$126)-MIN($N$2:$N$126))</f>
        <v>5.1808902533327147E-3</v>
      </c>
      <c r="AK94" s="9">
        <f>(O94-MIN($O$2:$O$126))/(MAX($O$2:$O$126)-MIN($O$2:$O$126))</f>
        <v>0.30686799805163173</v>
      </c>
      <c r="AL94" s="9">
        <f>(S94-MIN($S$2:$S$126))/(MAX($S$2:$S$126)-MIN($S$2:$S$126))</f>
        <v>9.3575418994413434E-2</v>
      </c>
      <c r="AM94" s="9">
        <f>(T94-MIN($T$2:$T$126))/(MAX($T$2:$T$126)-MIN($T$2:$T$126))</f>
        <v>0.38571222814345385</v>
      </c>
      <c r="AN94" s="9">
        <f>1-(AC94-MIN($AC$2:$AC$126))/(MAX($AC$2:$AC$126)-MIN($AC$2:$AC$126))</f>
        <v>0.52588541873516403</v>
      </c>
      <c r="AO94" s="9">
        <f>(AD94-MIN($AD$2:$AD$126))/(MAX($AD$2:$AD$126)-MIN($AD$2:$AD$126))</f>
        <v>7.7844311377245512E-2</v>
      </c>
      <c r="AP94" s="9">
        <f>1-(AE94-MIN($AE$2:$AE$126))/(MAX($AE$2:$AE$126)-MIN($AE$2:$AE$126))</f>
        <v>0.63870000000000005</v>
      </c>
      <c r="AQ94" s="9">
        <f>(V94-MIN($V$2:$V$126))/(MAX($V$2:$V$126)-MIN($V$2:$V$126))</f>
        <v>0.19444444444444445</v>
      </c>
      <c r="AR94" s="9">
        <f>1-(Y94-MIN($Y$2:$Y$126))/(MAX($Y$2:$Y$126)-MIN($Y$2:$Y$126))</f>
        <v>0.98958333333333337</v>
      </c>
      <c r="AS94" s="9">
        <f>1-(AA94-MIN($AA$2:$AA$126))/(MAX($AA$2:$AA$126)-MIN($AA$2:$AA$126))</f>
        <v>0.92138630600169069</v>
      </c>
      <c r="AT94" s="9">
        <f>(K94-MIN($K$2:$K$126))/(MAX($K$2:$K$126)-MIN($K$2:$K$126))</f>
        <v>0.39393939393939392</v>
      </c>
      <c r="AU94" s="9">
        <f>(L94-MIN($L$2:$L$126))/(MAX($L$2:$L$126)-MIN($L$2:$L$126))</f>
        <v>1.5992345544013121E-2</v>
      </c>
      <c r="AV94" s="8">
        <f>(AI94*(Tablero!$B$5/100)+AJ94*(Tablero!$B$6/100))*(Tablero!$B$4/100)</f>
        <v>6.3546258039417769E-2</v>
      </c>
      <c r="AW94" s="8">
        <f>(AK94*(Tablero!$B$8/100))*(Tablero!$B$7/100)</f>
        <v>7.6716999512907932E-2</v>
      </c>
      <c r="AX94" s="8">
        <f>(AL94*(Tablero!$B$10/100)+AM94*(Tablero!$B$11/100)+AN94*(Tablero!$B$12/100)+AO94*(Tablero!$B$13/100)+AP94*(Tablero!$B$14/100))*(Tablero!$B$9/100)</f>
        <v>8.8184836670743713E-2</v>
      </c>
      <c r="AY94" s="8">
        <f>(AQ94*(Tablero!$B$16/100)+AR94*(Tablero!$B$17/100)+AS94*(Tablero!$B$18/100))*(Tablero!$B$15/100)</f>
        <v>0.16617701876115337</v>
      </c>
      <c r="AZ94" s="8">
        <f>(AT94*(Tablero!$B$20/100)+AU94*(Tablero!$B$21/100))*(Tablero!$B$19/100)</f>
        <v>1.0248293487085176E-2</v>
      </c>
    </row>
    <row r="95" spans="2:52" x14ac:dyDescent="0.4">
      <c r="B95" t="s">
        <v>223</v>
      </c>
      <c r="C95" t="s">
        <v>224</v>
      </c>
      <c r="D95" s="3">
        <v>20675</v>
      </c>
      <c r="E95" s="3">
        <v>123</v>
      </c>
      <c r="F95">
        <v>52</v>
      </c>
      <c r="G95">
        <v>17</v>
      </c>
      <c r="H95">
        <v>43.1</v>
      </c>
      <c r="I95">
        <v>57.7</v>
      </c>
      <c r="J95">
        <v>29</v>
      </c>
      <c r="K95">
        <v>0.24</v>
      </c>
      <c r="L95">
        <v>52</v>
      </c>
      <c r="M95">
        <v>0</v>
      </c>
      <c r="N95">
        <v>176.55167574999999</v>
      </c>
      <c r="O95" s="3">
        <v>6.09</v>
      </c>
      <c r="P95">
        <v>29</v>
      </c>
      <c r="Q95">
        <v>71.00813008130082</v>
      </c>
      <c r="R95">
        <v>52.85</v>
      </c>
      <c r="S95">
        <v>20.329999999999998</v>
      </c>
      <c r="T95">
        <v>45.53</v>
      </c>
      <c r="U95">
        <v>44.72</v>
      </c>
      <c r="V95" s="3">
        <v>185</v>
      </c>
      <c r="W95">
        <v>4</v>
      </c>
      <c r="X95">
        <v>4</v>
      </c>
      <c r="Y95">
        <v>0</v>
      </c>
      <c r="Z95">
        <v>0</v>
      </c>
      <c r="AA95" s="3">
        <v>19.3</v>
      </c>
      <c r="AB95">
        <v>21</v>
      </c>
      <c r="AC95">
        <v>63093.760000000002</v>
      </c>
      <c r="AD95">
        <v>0.28999999999999998</v>
      </c>
      <c r="AE95">
        <v>52.38</v>
      </c>
      <c r="AF95">
        <v>6.1</v>
      </c>
      <c r="AG95" s="10">
        <f>AV95+AW95+AX95+AY95+AZ95</f>
        <v>0.40401385541968549</v>
      </c>
      <c r="AH95" t="s">
        <v>41</v>
      </c>
      <c r="AI95" s="9">
        <f>(G95-MIN($G$2:$G$126))/(MAX($G$2:$G$126)-MIN($G$2:$G$126))</f>
        <v>0.24647887323943662</v>
      </c>
      <c r="AJ95" s="9">
        <f>(N95-MIN($N$2:$N$126))/(MAX($N$2:$N$126)-MIN($N$2:$N$126))</f>
        <v>3.7236980098474684E-3</v>
      </c>
      <c r="AK95" s="9">
        <f>(O95-MIN($O$2:$O$126))/(MAX($O$2:$O$126)-MIN($O$2:$O$126))</f>
        <v>0.29663906478324403</v>
      </c>
      <c r="AL95" s="9">
        <f>(S95-MIN($S$2:$S$126))/(MAX($S$2:$S$126)-MIN($S$2:$S$126))</f>
        <v>0.2281191806331471</v>
      </c>
      <c r="AM95" s="9">
        <f>(T95-MIN($T$2:$T$126))/(MAX($T$2:$T$126)-MIN($T$2:$T$126))</f>
        <v>0.37879879014835088</v>
      </c>
      <c r="AN95" s="9">
        <f>1-(AC95-MIN($AC$2:$AC$126))/(MAX($AC$2:$AC$126)-MIN($AC$2:$AC$126))</f>
        <v>0.5144348279468387</v>
      </c>
      <c r="AO95" s="9">
        <f>(AD95-MIN($AD$2:$AD$126))/(MAX($AD$2:$AD$126)-MIN($AD$2:$AD$126))</f>
        <v>0.17365269461077845</v>
      </c>
      <c r="AP95" s="9">
        <f>1-(AE95-MIN($AE$2:$AE$126))/(MAX($AE$2:$AE$126)-MIN($AE$2:$AE$126))</f>
        <v>0.47619999999999996</v>
      </c>
      <c r="AQ95" s="9">
        <f>(V95-MIN($V$2:$V$126))/(MAX($V$2:$V$126)-MIN($V$2:$V$126))</f>
        <v>0.51388888888888884</v>
      </c>
      <c r="AR95" s="9">
        <f>1-(Y95-MIN($Y$2:$Y$126))/(MAX($Y$2:$Y$126)-MIN($Y$2:$Y$126))</f>
        <v>1</v>
      </c>
      <c r="AS95" s="9">
        <f>1-(AA95-MIN($AA$2:$AA$126))/(MAX($AA$2:$AA$126)-MIN($AA$2:$AA$126))</f>
        <v>0.89687235841081991</v>
      </c>
      <c r="AT95" s="9">
        <f>(K95-MIN($K$2:$K$126))/(MAX($K$2:$K$126)-MIN($K$2:$K$126))</f>
        <v>0.57575757575757569</v>
      </c>
      <c r="AU95" s="9">
        <f>(L95-MIN($L$2:$L$126))/(MAX($L$2:$L$126)-MIN($L$2:$L$126))</f>
        <v>6.2875888463641335E-3</v>
      </c>
      <c r="AV95" s="8">
        <f>(AI95*(Tablero!$B$5/100)+AJ95*(Tablero!$B$6/100))*(Tablero!$B$4/100)</f>
        <v>3.734420078690024E-2</v>
      </c>
      <c r="AW95" s="8">
        <f>(AK95*(Tablero!$B$8/100))*(Tablero!$B$7/100)</f>
        <v>7.4159766195811008E-2</v>
      </c>
      <c r="AX95" s="8">
        <f>(AL95*(Tablero!$B$10/100)+AM95*(Tablero!$B$11/100)+AN95*(Tablero!$B$12/100)+AO95*(Tablero!$B$13/100)+AP95*(Tablero!$B$14/100))*(Tablero!$B$9/100)</f>
        <v>7.9148061472716344E-2</v>
      </c>
      <c r="AY95" s="8">
        <f>(AQ95*(Tablero!$B$16/100)+AR95*(Tablero!$B$17/100)+AS95*(Tablero!$B$18/100))*(Tablero!$B$15/100)</f>
        <v>0.19881069784915936</v>
      </c>
      <c r="AZ95" s="8">
        <f>(AT95*(Tablero!$B$20/100)+AU95*(Tablero!$B$21/100))*(Tablero!$B$19/100)</f>
        <v>1.4551129115098496E-2</v>
      </c>
    </row>
    <row r="96" spans="2:52" x14ac:dyDescent="0.4">
      <c r="B96" t="s">
        <v>233</v>
      </c>
      <c r="C96" t="s">
        <v>234</v>
      </c>
      <c r="D96" s="3">
        <v>23719</v>
      </c>
      <c r="E96" s="3">
        <v>54</v>
      </c>
      <c r="F96">
        <v>17</v>
      </c>
      <c r="G96">
        <v>6.5</v>
      </c>
      <c r="H96">
        <v>12.3</v>
      </c>
      <c r="I96">
        <v>68.5</v>
      </c>
      <c r="J96">
        <v>7</v>
      </c>
      <c r="K96">
        <v>0.13</v>
      </c>
      <c r="L96">
        <v>23</v>
      </c>
      <c r="M96">
        <v>0</v>
      </c>
      <c r="N96">
        <v>34.570413619999997</v>
      </c>
      <c r="O96" s="3">
        <v>4.32</v>
      </c>
      <c r="P96">
        <v>8</v>
      </c>
      <c r="Q96">
        <v>69.907407407407405</v>
      </c>
      <c r="R96">
        <v>48.15</v>
      </c>
      <c r="S96">
        <v>27.78</v>
      </c>
      <c r="T96">
        <v>66.67</v>
      </c>
      <c r="U96">
        <v>57.41</v>
      </c>
      <c r="V96" s="3">
        <v>350</v>
      </c>
      <c r="W96">
        <v>16</v>
      </c>
      <c r="X96">
        <v>16</v>
      </c>
      <c r="Y96">
        <v>0</v>
      </c>
      <c r="Z96">
        <v>0</v>
      </c>
      <c r="AA96" s="3">
        <v>67.5</v>
      </c>
      <c r="AC96">
        <v>52157.1</v>
      </c>
      <c r="AD96">
        <v>0.12</v>
      </c>
      <c r="AE96">
        <v>45.83</v>
      </c>
      <c r="AF96">
        <v>3.02</v>
      </c>
      <c r="AG96" s="10">
        <f>AV96+AW96+AX96+AY96+AZ96</f>
        <v>0.39957229452878407</v>
      </c>
      <c r="AH96" t="s">
        <v>48</v>
      </c>
      <c r="AI96" s="9">
        <f>(G96-MIN($G$2:$G$126))/(MAX($G$2:$G$126)-MIN($G$2:$G$126))</f>
        <v>0</v>
      </c>
      <c r="AJ96" s="9">
        <f>(N96-MIN($N$2:$N$126))/(MAX($N$2:$N$126)-MIN($N$2:$N$126))</f>
        <v>7.2913372161180305E-4</v>
      </c>
      <c r="AK96" s="9">
        <f>(O96-MIN($O$2:$O$126))/(MAX($O$2:$O$126)-MIN($O$2:$O$126))</f>
        <v>0.21042377009254751</v>
      </c>
      <c r="AL96" s="9">
        <f>(S96-MIN($S$2:$S$126))/(MAX($S$2:$S$126)-MIN($S$2:$S$126))</f>
        <v>0.40153631284916202</v>
      </c>
      <c r="AM96" s="9">
        <f>(T96-MIN($T$2:$T$126))/(MAX($T$2:$T$126)-MIN($T$2:$T$126))</f>
        <v>0.68327812184934467</v>
      </c>
      <c r="AN96" s="9">
        <f>1-(AC96-MIN($AC$2:$AC$126))/(MAX($AC$2:$AC$126)-MIN($AC$2:$AC$126))</f>
        <v>0.62580690493720414</v>
      </c>
      <c r="AO96" s="9">
        <f>(AD96-MIN($AD$2:$AD$126))/(MAX($AD$2:$AD$126)-MIN($AD$2:$AD$126))</f>
        <v>7.1856287425149698E-2</v>
      </c>
      <c r="AP96" s="9">
        <f>1-(AE96-MIN($AE$2:$AE$126))/(MAX($AE$2:$AE$126)-MIN($AE$2:$AE$126))</f>
        <v>0.54170000000000007</v>
      </c>
      <c r="AQ96" s="9">
        <f>(V96-MIN($V$2:$V$126))/(MAX($V$2:$V$126)-MIN($V$2:$V$126))</f>
        <v>0.97222222222222221</v>
      </c>
      <c r="AR96" s="9">
        <f>1-(Y96-MIN($Y$2:$Y$126))/(MAX($Y$2:$Y$126)-MIN($Y$2:$Y$126))</f>
        <v>1</v>
      </c>
      <c r="AS96" s="9">
        <f>1-(AA96-MIN($AA$2:$AA$126))/(MAX($AA$2:$AA$126)-MIN($AA$2:$AA$126))</f>
        <v>0.48943364327979721</v>
      </c>
      <c r="AT96" s="9">
        <f>(K96-MIN($K$2:$K$126))/(MAX($K$2:$K$126)-MIN($K$2:$K$126))</f>
        <v>0.24242424242424243</v>
      </c>
      <c r="AU96" s="9">
        <f>(L96-MIN($L$2:$L$126))/(MAX($L$2:$L$126)-MIN($L$2:$L$126))</f>
        <v>2.3236741388737016E-3</v>
      </c>
      <c r="AV96" s="8">
        <f>(AI96*(Tablero!$B$5/100)+AJ96*(Tablero!$B$6/100))*(Tablero!$B$4/100)</f>
        <v>7.2913372161180303E-5</v>
      </c>
      <c r="AW96" s="8">
        <f>(AK96*(Tablero!$B$8/100))*(Tablero!$B$7/100)</f>
        <v>5.2605942523136877E-2</v>
      </c>
      <c r="AX96" s="8">
        <f>(AL96*(Tablero!$B$10/100)+AM96*(Tablero!$B$11/100)+AN96*(Tablero!$B$12/100)+AO96*(Tablero!$B$13/100)+AP96*(Tablero!$B$14/100))*(Tablero!$B$9/100)</f>
        <v>0.106316677415191</v>
      </c>
      <c r="AY96" s="8">
        <f>(AQ96*(Tablero!$B$16/100)+AR96*(Tablero!$B$17/100)+AS96*(Tablero!$B$18/100))*(Tablero!$B$15/100)</f>
        <v>0.23445806330421715</v>
      </c>
      <c r="AZ96" s="8">
        <f>(AT96*(Tablero!$B$20/100)+AU96*(Tablero!$B$21/100))*(Tablero!$B$19/100)</f>
        <v>6.118697914077903E-3</v>
      </c>
    </row>
    <row r="97" spans="2:52" hidden="1" x14ac:dyDescent="0.4">
      <c r="B97" t="s">
        <v>231</v>
      </c>
      <c r="C97" t="s">
        <v>232</v>
      </c>
      <c r="D97" s="3">
        <v>40520</v>
      </c>
      <c r="E97" s="3">
        <v>318</v>
      </c>
      <c r="F97">
        <v>139</v>
      </c>
      <c r="G97">
        <v>22.5</v>
      </c>
      <c r="H97">
        <v>58.9</v>
      </c>
      <c r="I97">
        <v>56.3</v>
      </c>
      <c r="J97">
        <v>94</v>
      </c>
      <c r="K97">
        <v>0.3</v>
      </c>
      <c r="L97">
        <v>133</v>
      </c>
      <c r="M97">
        <v>3</v>
      </c>
      <c r="N97">
        <v>375.36474771999991</v>
      </c>
      <c r="O97" s="3">
        <v>7.66</v>
      </c>
      <c r="P97">
        <v>49</v>
      </c>
      <c r="Q97">
        <v>69.355345911949684</v>
      </c>
      <c r="R97">
        <v>51.89</v>
      </c>
      <c r="S97">
        <v>31.45</v>
      </c>
      <c r="T97">
        <v>31.45</v>
      </c>
      <c r="U97">
        <v>44.03</v>
      </c>
      <c r="V97" s="3">
        <v>155</v>
      </c>
      <c r="W97">
        <v>6</v>
      </c>
      <c r="X97">
        <v>5</v>
      </c>
      <c r="Y97">
        <v>1</v>
      </c>
      <c r="Z97">
        <v>0</v>
      </c>
      <c r="AA97" s="3">
        <v>14.8</v>
      </c>
      <c r="AB97">
        <v>46</v>
      </c>
      <c r="AC97">
        <v>47751.7</v>
      </c>
      <c r="AD97">
        <v>0.04</v>
      </c>
      <c r="AE97">
        <v>76.09</v>
      </c>
      <c r="AF97">
        <v>1.92</v>
      </c>
      <c r="AG97" s="10">
        <f>AV97+AW97+AX97+AY97+AZ97</f>
        <v>0.41322746243561426</v>
      </c>
      <c r="AH97" t="s">
        <v>41</v>
      </c>
      <c r="AI97" s="9">
        <f>(G97-MIN($G$2:$G$126))/(MAX($G$2:$G$126)-MIN($G$2:$G$126))</f>
        <v>0.37558685446009388</v>
      </c>
      <c r="AJ97" s="9">
        <f>(N97-MIN($N$2:$N$126))/(MAX($N$2:$N$126)-MIN($N$2:$N$126))</f>
        <v>7.9169170052573734E-3</v>
      </c>
      <c r="AK97" s="9">
        <f>(O97-MIN($O$2:$O$126))/(MAX($O$2:$O$126)-MIN($O$2:$O$126))</f>
        <v>0.37311251826595226</v>
      </c>
      <c r="AL97" s="9">
        <f>(S97-MIN($S$2:$S$126))/(MAX($S$2:$S$126)-MIN($S$2:$S$126))</f>
        <v>0.48696461824953446</v>
      </c>
      <c r="AM97" s="9">
        <f>(T97-MIN($T$2:$T$126))/(MAX($T$2:$T$126)-MIN($T$2:$T$126))</f>
        <v>0.17600460895866341</v>
      </c>
      <c r="AN97" s="9">
        <f>1-(AC97-MIN($AC$2:$AC$126))/(MAX($AC$2:$AC$126)-MIN($AC$2:$AC$126))</f>
        <v>0.67066873185450404</v>
      </c>
      <c r="AO97" s="9">
        <f>(AD97-MIN($AD$2:$AD$126))/(MAX($AD$2:$AD$126)-MIN($AD$2:$AD$126))</f>
        <v>2.3952095808383235E-2</v>
      </c>
      <c r="AP97" s="9">
        <f>1-(AE97-MIN($AE$2:$AE$126))/(MAX($AE$2:$AE$126)-MIN($AE$2:$AE$126))</f>
        <v>0.23909999999999998</v>
      </c>
      <c r="AQ97" s="9">
        <f>(V97-MIN($V$2:$V$126))/(MAX($V$2:$V$126)-MIN($V$2:$V$126))</f>
        <v>0.43055555555555558</v>
      </c>
      <c r="AR97" s="9">
        <f>1-(Y97-MIN($Y$2:$Y$126))/(MAX($Y$2:$Y$126)-MIN($Y$2:$Y$126))</f>
        <v>0.98958333333333337</v>
      </c>
      <c r="AS97" s="9">
        <f>1-(AA97-MIN($AA$2:$AA$126))/(MAX($AA$2:$AA$126)-MIN($AA$2:$AA$126))</f>
        <v>0.9349112426035503</v>
      </c>
      <c r="AT97" s="9">
        <f>(K97-MIN($K$2:$K$126))/(MAX($K$2:$K$126)-MIN($K$2:$K$126))</f>
        <v>0.75757575757575757</v>
      </c>
      <c r="AU97" s="9">
        <f>(L97-MIN($L$2:$L$126))/(MAX($L$2:$L$126)-MIN($L$2:$L$126))</f>
        <v>1.7359212684527062E-2</v>
      </c>
      <c r="AV97" s="8">
        <f>(AI97*(Tablero!$B$5/100)+AJ97*(Tablero!$B$6/100))*(Tablero!$B$4/100)</f>
        <v>5.7129719869539818E-2</v>
      </c>
      <c r="AW97" s="8">
        <f>(AK97*(Tablero!$B$8/100))*(Tablero!$B$7/100)</f>
        <v>9.3278129566488066E-2</v>
      </c>
      <c r="AX97" s="8">
        <f>(AL97*(Tablero!$B$10/100)+AM97*(Tablero!$B$11/100)+AN97*(Tablero!$B$12/100)+AO97*(Tablero!$B$13/100)+AP97*(Tablero!$B$14/100))*(Tablero!$B$9/100)</f>
        <v>5.3319985455768243E-2</v>
      </c>
      <c r="AY97" s="8">
        <f>(AQ97*(Tablero!$B$16/100)+AR97*(Tablero!$B$17/100)+AS97*(Tablero!$B$18/100))*(Tablero!$B$15/100)</f>
        <v>0.19012625328731098</v>
      </c>
      <c r="AZ97" s="8">
        <f>(AT97*(Tablero!$B$20/100)+AU97*(Tablero!$B$21/100))*(Tablero!$B$19/100)</f>
        <v>1.937337425650712E-2</v>
      </c>
    </row>
    <row r="98" spans="2:52" x14ac:dyDescent="0.4">
      <c r="B98" t="s">
        <v>229</v>
      </c>
      <c r="C98" t="s">
        <v>230</v>
      </c>
      <c r="D98" s="3">
        <v>31861</v>
      </c>
      <c r="E98" s="3">
        <v>327</v>
      </c>
      <c r="F98">
        <v>125</v>
      </c>
      <c r="G98">
        <v>29.5</v>
      </c>
      <c r="H98">
        <v>67.7</v>
      </c>
      <c r="I98">
        <v>61.8</v>
      </c>
      <c r="J98">
        <v>83</v>
      </c>
      <c r="K98">
        <v>0.25</v>
      </c>
      <c r="L98">
        <v>164</v>
      </c>
      <c r="M98">
        <v>1</v>
      </c>
      <c r="N98">
        <v>780.70691464999982</v>
      </c>
      <c r="O98" s="3">
        <v>6.62</v>
      </c>
      <c r="P98">
        <v>118</v>
      </c>
      <c r="Q98">
        <v>73.308868501529048</v>
      </c>
      <c r="R98">
        <v>48.32</v>
      </c>
      <c r="S98">
        <v>40.67</v>
      </c>
      <c r="T98">
        <v>32.11</v>
      </c>
      <c r="U98">
        <v>46.79</v>
      </c>
      <c r="V98" s="3">
        <v>70</v>
      </c>
      <c r="W98">
        <v>10</v>
      </c>
      <c r="X98">
        <v>7</v>
      </c>
      <c r="Y98">
        <v>3</v>
      </c>
      <c r="Z98">
        <v>0</v>
      </c>
      <c r="AA98" s="3">
        <v>31.4</v>
      </c>
      <c r="AB98">
        <v>44</v>
      </c>
      <c r="AC98">
        <v>63196.25</v>
      </c>
      <c r="AD98">
        <v>7.0000000000000007E-2</v>
      </c>
      <c r="AE98">
        <v>77.27</v>
      </c>
      <c r="AF98">
        <v>2.35</v>
      </c>
      <c r="AG98" s="10">
        <f>AV98+AW98+AX98+AY98+AZ98</f>
        <v>0.39379307237107702</v>
      </c>
      <c r="AH98" t="s">
        <v>41</v>
      </c>
      <c r="AI98" s="9">
        <f>(G98-MIN($G$2:$G$126))/(MAX($G$2:$G$126)-MIN($G$2:$G$126))</f>
        <v>0.539906103286385</v>
      </c>
      <c r="AJ98" s="9">
        <f>(N98-MIN($N$2:$N$126))/(MAX($N$2:$N$126)-MIN($N$2:$N$126))</f>
        <v>1.6466095674293604E-2</v>
      </c>
      <c r="AK98" s="9">
        <f>(O98-MIN($O$2:$O$126))/(MAX($O$2:$O$126)-MIN($O$2:$O$126))</f>
        <v>0.32245494398441304</v>
      </c>
      <c r="AL98" s="9">
        <f>(S98-MIN($S$2:$S$126))/(MAX($S$2:$S$126)-MIN($S$2:$S$126))</f>
        <v>0.70158286778398515</v>
      </c>
      <c r="AM98" s="9">
        <f>(T98-MIN($T$2:$T$126))/(MAX($T$2:$T$126)-MIN($T$2:$T$126))</f>
        <v>0.18551058620193001</v>
      </c>
      <c r="AN98" s="9">
        <f>1-(AC98-MIN($AC$2:$AC$126))/(MAX($AC$2:$AC$126)-MIN($AC$2:$AC$126))</f>
        <v>0.51339113415268733</v>
      </c>
      <c r="AO98" s="9">
        <f>(AD98-MIN($AD$2:$AD$126))/(MAX($AD$2:$AD$126)-MIN($AD$2:$AD$126))</f>
        <v>4.1916167664670663E-2</v>
      </c>
      <c r="AP98" s="9">
        <f>1-(AE98-MIN($AE$2:$AE$126))/(MAX($AE$2:$AE$126)-MIN($AE$2:$AE$126))</f>
        <v>0.22730000000000006</v>
      </c>
      <c r="AQ98" s="9">
        <f>(V98-MIN($V$2:$V$126))/(MAX($V$2:$V$126)-MIN($V$2:$V$126))</f>
        <v>0.19444444444444445</v>
      </c>
      <c r="AR98" s="9">
        <f>1-(Y98-MIN($Y$2:$Y$126))/(MAX($Y$2:$Y$126)-MIN($Y$2:$Y$126))</f>
        <v>0.96875</v>
      </c>
      <c r="AS98" s="9">
        <f>1-(AA98-MIN($AA$2:$AA$126))/(MAX($AA$2:$AA$126)-MIN($AA$2:$AA$126))</f>
        <v>0.79459002535925616</v>
      </c>
      <c r="AT98" s="9">
        <f>(K98-MIN($K$2:$K$126))/(MAX($K$2:$K$126)-MIN($K$2:$K$126))</f>
        <v>0.60606060606060608</v>
      </c>
      <c r="AU98" s="9">
        <f>(L98-MIN($L$2:$L$126))/(MAX($L$2:$L$126)-MIN($L$2:$L$126))</f>
        <v>2.1596500820120285E-2</v>
      </c>
      <c r="AV98" s="8">
        <f>(AI98*(Tablero!$B$5/100)+AJ98*(Tablero!$B$6/100))*(Tablero!$B$4/100)</f>
        <v>8.263252506038711E-2</v>
      </c>
      <c r="AW98" s="8">
        <f>(AK98*(Tablero!$B$8/100))*(Tablero!$B$7/100)</f>
        <v>8.0613735996103261E-2</v>
      </c>
      <c r="AX98" s="8">
        <f>(AL98*(Tablero!$B$10/100)+AM98*(Tablero!$B$11/100)+AN98*(Tablero!$B$12/100)+AO98*(Tablero!$B$13/100)+AP98*(Tablero!$B$14/100))*(Tablero!$B$9/100)</f>
        <v>5.4452438564142669E-2</v>
      </c>
      <c r="AY98" s="8">
        <f>(AQ98*(Tablero!$B$16/100)+AR98*(Tablero!$B$17/100)+AS98*(Tablero!$B$18/100))*(Tablero!$B$15/100)</f>
        <v>0.16040294507842584</v>
      </c>
      <c r="AZ98" s="8">
        <f>(AT98*(Tablero!$B$20/100)+AU98*(Tablero!$B$21/100))*(Tablero!$B$19/100)</f>
        <v>1.5691427672018161E-2</v>
      </c>
    </row>
    <row r="99" spans="2:52" hidden="1" x14ac:dyDescent="0.4">
      <c r="B99" t="s">
        <v>235</v>
      </c>
      <c r="C99" t="s">
        <v>236</v>
      </c>
      <c r="D99" s="3">
        <v>65349</v>
      </c>
      <c r="E99" s="3">
        <v>598</v>
      </c>
      <c r="F99">
        <v>273</v>
      </c>
      <c r="G99">
        <v>25.2</v>
      </c>
      <c r="H99">
        <v>69.099999999999994</v>
      </c>
      <c r="I99">
        <v>54.3</v>
      </c>
      <c r="J99">
        <v>132</v>
      </c>
      <c r="K99">
        <v>0.22</v>
      </c>
      <c r="L99">
        <v>305</v>
      </c>
      <c r="M99">
        <v>3</v>
      </c>
      <c r="N99">
        <v>1459.25419132</v>
      </c>
      <c r="O99" s="3">
        <v>7.56</v>
      </c>
      <c r="P99">
        <v>193</v>
      </c>
      <c r="Q99">
        <v>71.086956521739125</v>
      </c>
      <c r="R99">
        <v>45.32</v>
      </c>
      <c r="S99">
        <v>18.73</v>
      </c>
      <c r="T99">
        <v>59.87</v>
      </c>
      <c r="U99">
        <v>58.53</v>
      </c>
      <c r="V99" s="3">
        <v>40</v>
      </c>
      <c r="W99">
        <v>18</v>
      </c>
      <c r="X99">
        <v>15</v>
      </c>
      <c r="Y99">
        <v>2</v>
      </c>
      <c r="Z99">
        <v>1</v>
      </c>
      <c r="AA99" s="3">
        <v>27.5</v>
      </c>
      <c r="AB99">
        <v>128</v>
      </c>
      <c r="AC99">
        <v>38149.440000000002</v>
      </c>
      <c r="AD99">
        <v>0.28000000000000003</v>
      </c>
      <c r="AE99">
        <v>32.03</v>
      </c>
      <c r="AF99">
        <v>3.6</v>
      </c>
      <c r="AG99" s="10">
        <f>AV99+AW99+AX99+AY99+AZ99</f>
        <v>0.44111571878123229</v>
      </c>
      <c r="AH99" t="s">
        <v>41</v>
      </c>
      <c r="AI99" s="9">
        <f>(G99-MIN($G$2:$G$126))/(MAX($G$2:$G$126)-MIN($G$2:$G$126))</f>
        <v>0.43896713615023469</v>
      </c>
      <c r="AJ99" s="9">
        <f>(N99-MIN($N$2:$N$126))/(MAX($N$2:$N$126)-MIN($N$2:$N$126))</f>
        <v>3.077751544977823E-2</v>
      </c>
      <c r="AK99" s="9">
        <f>(O99-MIN($O$2:$O$126))/(MAX($O$2:$O$126)-MIN($O$2:$O$126))</f>
        <v>0.36824159766195808</v>
      </c>
      <c r="AL99" s="9">
        <f>(S99-MIN($S$2:$S$126))/(MAX($S$2:$S$126)-MIN($S$2:$S$126))</f>
        <v>0.19087523277467414</v>
      </c>
      <c r="AM99" s="9">
        <f>(T99-MIN($T$2:$T$126))/(MAX($T$2:$T$126)-MIN($T$2:$T$126))</f>
        <v>0.58533775025205248</v>
      </c>
      <c r="AN99" s="9">
        <f>1-(AC99-MIN($AC$2:$AC$126))/(MAX($AC$2:$AC$126)-MIN($AC$2:$AC$126))</f>
        <v>0.768452117275785</v>
      </c>
      <c r="AO99" s="9">
        <f>(AD99-MIN($AD$2:$AD$126))/(MAX($AD$2:$AD$126)-MIN($AD$2:$AD$126))</f>
        <v>0.16766467065868265</v>
      </c>
      <c r="AP99" s="9">
        <f>1-(AE99-MIN($AE$2:$AE$126))/(MAX($AE$2:$AE$126)-MIN($AE$2:$AE$126))</f>
        <v>0.67969999999999997</v>
      </c>
      <c r="AQ99" s="9">
        <f>(V99-MIN($V$2:$V$126))/(MAX($V$2:$V$126)-MIN($V$2:$V$126))</f>
        <v>0.1111111111111111</v>
      </c>
      <c r="AR99" s="9">
        <f>1-(Y99-MIN($Y$2:$Y$126))/(MAX($Y$2:$Y$126)-MIN($Y$2:$Y$126))</f>
        <v>0.97916666666666663</v>
      </c>
      <c r="AS99" s="9">
        <f>1-(AA99-MIN($AA$2:$AA$126))/(MAX($AA$2:$AA$126)-MIN($AA$2:$AA$126))</f>
        <v>0.82755705832628912</v>
      </c>
      <c r="AT99" s="9">
        <f>(K99-MIN($K$2:$K$126))/(MAX($K$2:$K$126)-MIN($K$2:$K$126))</f>
        <v>0.51515151515151503</v>
      </c>
      <c r="AU99" s="9">
        <f>(L99-MIN($L$2:$L$126))/(MAX($L$2:$L$126)-MIN($L$2:$L$126))</f>
        <v>4.0869327501366869E-2</v>
      </c>
      <c r="AV99" s="8">
        <f>(AI99*(Tablero!$B$5/100)+AJ99*(Tablero!$B$6/100))*(Tablero!$B$4/100)</f>
        <v>6.8922821967513037E-2</v>
      </c>
      <c r="AW99" s="8">
        <f>(AK99*(Tablero!$B$8/100))*(Tablero!$B$7/100)</f>
        <v>9.2060399415489519E-2</v>
      </c>
      <c r="AX99" s="8">
        <f>(AL99*(Tablero!$B$10/100)+AM99*(Tablero!$B$11/100)+AN99*(Tablero!$B$12/100)+AO99*(Tablero!$B$13/100)+AP99*(Tablero!$B$14/100))*(Tablero!$B$9/100)</f>
        <v>0.11203610542930598</v>
      </c>
      <c r="AY99" s="8">
        <f>(AQ99*(Tablero!$B$16/100)+AR99*(Tablero!$B$17/100)+AS99*(Tablero!$B$18/100))*(Tablero!$B$15/100)</f>
        <v>0.15419587090260167</v>
      </c>
      <c r="AZ99" s="8">
        <f>(AT99*(Tablero!$B$20/100)+AU99*(Tablero!$B$21/100))*(Tablero!$B$19/100)</f>
        <v>1.3900521066322048E-2</v>
      </c>
    </row>
    <row r="100" spans="2:52" hidden="1" x14ac:dyDescent="0.4">
      <c r="B100" t="s">
        <v>237</v>
      </c>
      <c r="C100" t="s">
        <v>238</v>
      </c>
      <c r="D100" s="3">
        <v>95055</v>
      </c>
      <c r="E100" s="3">
        <v>749</v>
      </c>
      <c r="F100">
        <v>166</v>
      </c>
      <c r="G100">
        <v>22.6</v>
      </c>
      <c r="H100">
        <v>30.1</v>
      </c>
      <c r="I100">
        <v>77.8</v>
      </c>
      <c r="J100">
        <v>167</v>
      </c>
      <c r="K100">
        <v>0.22</v>
      </c>
      <c r="L100">
        <v>335</v>
      </c>
      <c r="M100">
        <v>4</v>
      </c>
      <c r="N100">
        <v>1398.83417912</v>
      </c>
      <c r="O100" s="3">
        <v>8.69</v>
      </c>
      <c r="P100">
        <v>161</v>
      </c>
      <c r="Q100">
        <v>69.237650200267026</v>
      </c>
      <c r="R100">
        <v>50.47</v>
      </c>
      <c r="S100">
        <v>36.979999999999997</v>
      </c>
      <c r="T100">
        <v>19.23</v>
      </c>
      <c r="U100">
        <v>38.450000000000003</v>
      </c>
      <c r="V100" s="3">
        <v>50</v>
      </c>
      <c r="W100">
        <v>18</v>
      </c>
      <c r="X100">
        <v>14</v>
      </c>
      <c r="Y100">
        <v>3</v>
      </c>
      <c r="Z100">
        <v>1</v>
      </c>
      <c r="AA100" s="3">
        <v>18.899999999999999</v>
      </c>
      <c r="AB100">
        <v>134</v>
      </c>
      <c r="AC100">
        <v>54133.01</v>
      </c>
      <c r="AD100">
        <v>0.04</v>
      </c>
      <c r="AE100">
        <v>54.48</v>
      </c>
      <c r="AF100">
        <v>1.5</v>
      </c>
      <c r="AG100" s="10">
        <f>AV100+AW100+AX100+AY100+AZ100</f>
        <v>0.39827575561861506</v>
      </c>
      <c r="AH100" t="s">
        <v>41</v>
      </c>
      <c r="AI100" s="9">
        <f>(G100-MIN($G$2:$G$126))/(MAX($G$2:$G$126)-MIN($G$2:$G$126))</f>
        <v>0.3779342723004695</v>
      </c>
      <c r="AJ100" s="9">
        <f>(N100-MIN($N$2:$N$126))/(MAX($N$2:$N$126)-MIN($N$2:$N$126))</f>
        <v>2.9503181019202317E-2</v>
      </c>
      <c r="AK100" s="9">
        <f>(O100-MIN($O$2:$O$126))/(MAX($O$2:$O$126)-MIN($O$2:$O$126))</f>
        <v>0.423283000487092</v>
      </c>
      <c r="AL100" s="9">
        <f>(S100-MIN($S$2:$S$126))/(MAX($S$2:$S$126)-MIN($S$2:$S$126))</f>
        <v>0.61568901303538159</v>
      </c>
      <c r="AM100" s="9">
        <f>(T100-MIN($T$2:$T$126))/(MAX($T$2:$T$126)-MIN($T$2:$T$126))</f>
        <v>0</v>
      </c>
      <c r="AN100" s="9">
        <f>1-(AC100-MIN($AC$2:$AC$126))/(MAX($AC$2:$AC$126)-MIN($AC$2:$AC$126))</f>
        <v>0.60568547840972387</v>
      </c>
      <c r="AO100" s="9">
        <f>(AD100-MIN($AD$2:$AD$126))/(MAX($AD$2:$AD$126)-MIN($AD$2:$AD$126))</f>
        <v>2.3952095808383235E-2</v>
      </c>
      <c r="AP100" s="9">
        <f>1-(AE100-MIN($AE$2:$AE$126))/(MAX($AE$2:$AE$126)-MIN($AE$2:$AE$126))</f>
        <v>0.45520000000000005</v>
      </c>
      <c r="AQ100" s="9">
        <f>(V100-MIN($V$2:$V$126))/(MAX($V$2:$V$126)-MIN($V$2:$V$126))</f>
        <v>0.1388888888888889</v>
      </c>
      <c r="AR100" s="9">
        <f>1-(Y100-MIN($Y$2:$Y$126))/(MAX($Y$2:$Y$126)-MIN($Y$2:$Y$126))</f>
        <v>0.96875</v>
      </c>
      <c r="AS100" s="9">
        <f>1-(AA100-MIN($AA$2:$AA$126))/(MAX($AA$2:$AA$126)-MIN($AA$2:$AA$126))</f>
        <v>0.9002535925612849</v>
      </c>
      <c r="AT100" s="9">
        <f>(K100-MIN($K$2:$K$126))/(MAX($K$2:$K$126)-MIN($K$2:$K$126))</f>
        <v>0.51515151515151503</v>
      </c>
      <c r="AU100" s="9">
        <f>(L100-MIN($L$2:$L$126))/(MAX($L$2:$L$126)-MIN($L$2:$L$126))</f>
        <v>4.4969928922908693E-2</v>
      </c>
      <c r="AV100" s="8">
        <f>(AI100*(Tablero!$B$5/100)+AJ100*(Tablero!$B$6/100))*(Tablero!$B$4/100)</f>
        <v>5.9640458946990653E-2</v>
      </c>
      <c r="AW100" s="8">
        <f>(AK100*(Tablero!$B$8/100))*(Tablero!$B$7/100)</f>
        <v>0.105820750121773</v>
      </c>
      <c r="AX100" s="8">
        <f>(AL100*(Tablero!$B$10/100)+AM100*(Tablero!$B$11/100)+AN100*(Tablero!$B$12/100)+AO100*(Tablero!$B$13/100)+AP100*(Tablero!$B$14/100))*(Tablero!$B$9/100)</f>
        <v>6.1322531745069776E-2</v>
      </c>
      <c r="AY100" s="8">
        <f>(AQ100*(Tablero!$B$16/100)+AR100*(Tablero!$B$17/100)+AS100*(Tablero!$B$18/100))*(Tablero!$B$15/100)</f>
        <v>0.15748897870292103</v>
      </c>
      <c r="AZ100" s="8">
        <f>(AT100*(Tablero!$B$20/100)+AU100*(Tablero!$B$21/100))*(Tablero!$B$19/100)</f>
        <v>1.4003036101860595E-2</v>
      </c>
    </row>
    <row r="101" spans="2:52" x14ac:dyDescent="0.4">
      <c r="B101" t="s">
        <v>177</v>
      </c>
      <c r="C101" t="s">
        <v>178</v>
      </c>
      <c r="D101" s="3">
        <v>22289</v>
      </c>
      <c r="E101" s="3">
        <v>187</v>
      </c>
      <c r="F101">
        <v>54</v>
      </c>
      <c r="G101">
        <v>23.8</v>
      </c>
      <c r="H101">
        <v>41.2</v>
      </c>
      <c r="I101">
        <v>71.099999999999994</v>
      </c>
      <c r="J101">
        <v>42</v>
      </c>
      <c r="K101">
        <v>0.22</v>
      </c>
      <c r="L101">
        <v>90</v>
      </c>
      <c r="M101">
        <v>0</v>
      </c>
      <c r="N101">
        <v>52.31486052999999</v>
      </c>
      <c r="O101" s="3">
        <v>2.0099999999999998</v>
      </c>
      <c r="P101">
        <v>26</v>
      </c>
      <c r="Q101">
        <v>69.240641711229941</v>
      </c>
      <c r="R101">
        <v>47.59</v>
      </c>
      <c r="S101">
        <v>39.57</v>
      </c>
      <c r="T101">
        <v>37.43</v>
      </c>
      <c r="U101">
        <v>54.01</v>
      </c>
      <c r="V101" s="3">
        <v>210</v>
      </c>
      <c r="W101">
        <v>5</v>
      </c>
      <c r="X101">
        <v>5</v>
      </c>
      <c r="Y101">
        <v>0</v>
      </c>
      <c r="Z101">
        <v>0</v>
      </c>
      <c r="AA101" s="3">
        <v>22.4</v>
      </c>
      <c r="AB101">
        <v>45</v>
      </c>
      <c r="AC101">
        <v>69749.39</v>
      </c>
      <c r="AD101">
        <v>0</v>
      </c>
      <c r="AE101">
        <v>35.56</v>
      </c>
      <c r="AF101">
        <v>3.09</v>
      </c>
      <c r="AG101" s="10">
        <f>AV101+AW101+AX101+AY101+AZ101</f>
        <v>0.3935008517512259</v>
      </c>
      <c r="AH101" t="s">
        <v>41</v>
      </c>
      <c r="AI101" s="9">
        <f>(G101-MIN($G$2:$G$126))/(MAX($G$2:$G$126)-MIN($G$2:$G$126))</f>
        <v>0.4061032863849765</v>
      </c>
      <c r="AJ101" s="9">
        <f>(N101-MIN($N$2:$N$126))/(MAX($N$2:$N$126)-MIN($N$2:$N$126))</f>
        <v>1.1033865366242997E-3</v>
      </c>
      <c r="AK101" s="9">
        <f>(O101-MIN($O$2:$O$126))/(MAX($O$2:$O$126)-MIN($O$2:$O$126))</f>
        <v>9.7905504140282498E-2</v>
      </c>
      <c r="AL101" s="9">
        <f>(S101-MIN($S$2:$S$126))/(MAX($S$2:$S$126)-MIN($S$2:$S$126))</f>
        <v>0.67597765363128492</v>
      </c>
      <c r="AM101" s="9">
        <f>(T101-MIN($T$2:$T$126))/(MAX($T$2:$T$126)-MIN($T$2:$T$126))</f>
        <v>0.26213452398098808</v>
      </c>
      <c r="AN101" s="9">
        <f>1-(AC101-MIN($AC$2:$AC$126))/(MAX($AC$2:$AC$126)-MIN($AC$2:$AC$126))</f>
        <v>0.44665807190071616</v>
      </c>
      <c r="AO101" s="9">
        <f>(AD101-MIN($AD$2:$AD$126))/(MAX($AD$2:$AD$126)-MIN($AD$2:$AD$126))</f>
        <v>0</v>
      </c>
      <c r="AP101" s="9">
        <f>1-(AE101-MIN($AE$2:$AE$126))/(MAX($AE$2:$AE$126)-MIN($AE$2:$AE$126))</f>
        <v>0.64439999999999997</v>
      </c>
      <c r="AQ101" s="9">
        <f>(V101-MIN($V$2:$V$126))/(MAX($V$2:$V$126)-MIN($V$2:$V$126))</f>
        <v>0.58333333333333337</v>
      </c>
      <c r="AR101" s="9">
        <f>1-(Y101-MIN($Y$2:$Y$126))/(MAX($Y$2:$Y$126)-MIN($Y$2:$Y$126))</f>
        <v>1</v>
      </c>
      <c r="AS101" s="9">
        <f>1-(AA101-MIN($AA$2:$AA$126))/(MAX($AA$2:$AA$126)-MIN($AA$2:$AA$126))</f>
        <v>0.87066779374471681</v>
      </c>
      <c r="AT101" s="9">
        <f>(K101-MIN($K$2:$K$126))/(MAX($K$2:$K$126)-MIN($K$2:$K$126))</f>
        <v>0.51515151515151503</v>
      </c>
      <c r="AU101" s="9">
        <f>(L101-MIN($L$2:$L$126))/(MAX($L$2:$L$126)-MIN($L$2:$L$126))</f>
        <v>1.1481683980317113E-2</v>
      </c>
      <c r="AV101" s="8">
        <f>(AI101*(Tablero!$B$5/100)+AJ101*(Tablero!$B$6/100))*(Tablero!$B$4/100)</f>
        <v>6.1025831611408905E-2</v>
      </c>
      <c r="AW101" s="8">
        <f>(AK101*(Tablero!$B$8/100))*(Tablero!$B$7/100)</f>
        <v>2.4476376035070625E-2</v>
      </c>
      <c r="AX101" s="8">
        <f>(AL101*(Tablero!$B$10/100)+AM101*(Tablero!$B$11/100)+AN101*(Tablero!$B$12/100)+AO101*(Tablero!$B$13/100)+AP101*(Tablero!$B$14/100))*(Tablero!$B$9/100)</f>
        <v>8.9732785949499308E-2</v>
      </c>
      <c r="AY101" s="8">
        <f>(AQ101*(Tablero!$B$16/100)+AR101*(Tablero!$B$17/100)+AS101*(Tablero!$B$18/100))*(Tablero!$B$15/100)</f>
        <v>0.20510002817695128</v>
      </c>
      <c r="AZ101" s="8">
        <f>(AT101*(Tablero!$B$20/100)+AU101*(Tablero!$B$21/100))*(Tablero!$B$19/100)</f>
        <v>1.3165829978295804E-2</v>
      </c>
    </row>
    <row r="102" spans="2:52" hidden="1" x14ac:dyDescent="0.4">
      <c r="B102" t="s">
        <v>241</v>
      </c>
      <c r="C102" t="s">
        <v>242</v>
      </c>
      <c r="D102" s="3">
        <v>80003</v>
      </c>
      <c r="E102" s="3">
        <v>389</v>
      </c>
      <c r="F102">
        <v>161</v>
      </c>
      <c r="G102">
        <v>14.6</v>
      </c>
      <c r="H102">
        <v>36.200000000000003</v>
      </c>
      <c r="I102">
        <v>58.6</v>
      </c>
      <c r="J102">
        <v>85</v>
      </c>
      <c r="K102">
        <v>0.22</v>
      </c>
      <c r="L102">
        <v>171</v>
      </c>
      <c r="M102">
        <v>4</v>
      </c>
      <c r="N102">
        <v>890.19864013999972</v>
      </c>
      <c r="O102" s="3">
        <v>8.17</v>
      </c>
      <c r="P102">
        <v>109</v>
      </c>
      <c r="Q102">
        <v>67.493573264781489</v>
      </c>
      <c r="R102">
        <v>47.81</v>
      </c>
      <c r="S102">
        <v>24.68</v>
      </c>
      <c r="T102">
        <v>36.76</v>
      </c>
      <c r="U102">
        <v>53.73</v>
      </c>
      <c r="V102" s="3">
        <v>35</v>
      </c>
      <c r="W102">
        <v>13</v>
      </c>
      <c r="X102">
        <v>13</v>
      </c>
      <c r="Y102">
        <v>0</v>
      </c>
      <c r="Z102">
        <v>0</v>
      </c>
      <c r="AA102" s="3">
        <v>16.2</v>
      </c>
      <c r="AB102">
        <v>29</v>
      </c>
      <c r="AC102">
        <v>57463.94</v>
      </c>
      <c r="AD102">
        <v>0</v>
      </c>
      <c r="AE102">
        <v>37.93</v>
      </c>
      <c r="AF102">
        <v>0.61</v>
      </c>
      <c r="AG102" s="10">
        <f>AV102+AW102+AX102+AY102+AZ102</f>
        <v>0.38395688929510857</v>
      </c>
      <c r="AH102" t="s">
        <v>41</v>
      </c>
      <c r="AI102" s="9">
        <f>(G102-MIN($G$2:$G$126))/(MAX($G$2:$G$126)-MIN($G$2:$G$126))</f>
        <v>0.19014084507042253</v>
      </c>
      <c r="AJ102" s="9">
        <f>(N102-MIN($N$2:$N$126))/(MAX($N$2:$N$126)-MIN($N$2:$N$126))</f>
        <v>1.8775414566736221E-2</v>
      </c>
      <c r="AK102" s="9">
        <f>(O102-MIN($O$2:$O$126))/(MAX($O$2:$O$126)-MIN($O$2:$O$126))</f>
        <v>0.39795421334632242</v>
      </c>
      <c r="AL102" s="9">
        <f>(S102-MIN($S$2:$S$126))/(MAX($S$2:$S$126)-MIN($S$2:$S$126))</f>
        <v>0.3293761638733706</v>
      </c>
      <c r="AM102" s="9">
        <f>(T102-MIN($T$2:$T$126))/(MAX($T$2:$T$126)-MIN($T$2:$T$126))</f>
        <v>0.25248451677949013</v>
      </c>
      <c r="AN102" s="9">
        <f>1-(AC102-MIN($AC$2:$AC$126))/(MAX($AC$2:$AC$126)-MIN($AC$2:$AC$126))</f>
        <v>0.57176537918294723</v>
      </c>
      <c r="AO102" s="9">
        <f>(AD102-MIN($AD$2:$AD$126))/(MAX($AD$2:$AD$126)-MIN($AD$2:$AD$126))</f>
        <v>0</v>
      </c>
      <c r="AP102" s="9">
        <f>1-(AE102-MIN($AE$2:$AE$126))/(MAX($AE$2:$AE$126)-MIN($AE$2:$AE$126))</f>
        <v>0.62070000000000003</v>
      </c>
      <c r="AQ102" s="9">
        <f>(V102-MIN($V$2:$V$126))/(MAX($V$2:$V$126)-MIN($V$2:$V$126))</f>
        <v>9.7222222222222224E-2</v>
      </c>
      <c r="AR102" s="9">
        <f>1-(Y102-MIN($Y$2:$Y$126))/(MAX($Y$2:$Y$126)-MIN($Y$2:$Y$126))</f>
        <v>1</v>
      </c>
      <c r="AS102" s="9">
        <f>1-(AA102-MIN($AA$2:$AA$126))/(MAX($AA$2:$AA$126)-MIN($AA$2:$AA$126))</f>
        <v>0.92307692307692313</v>
      </c>
      <c r="AT102" s="9">
        <f>(K102-MIN($K$2:$K$126))/(MAX($K$2:$K$126)-MIN($K$2:$K$126))</f>
        <v>0.51515151515151503</v>
      </c>
      <c r="AU102" s="9">
        <f>(L102-MIN($L$2:$L$126))/(MAX($L$2:$L$126)-MIN($L$2:$L$126))</f>
        <v>2.2553307818480042E-2</v>
      </c>
      <c r="AV102" s="8">
        <f>(AI102*(Tablero!$B$5/100)+AJ102*(Tablero!$B$6/100))*(Tablero!$B$4/100)</f>
        <v>3.0398668217236999E-2</v>
      </c>
      <c r="AW102" s="8">
        <f>(AK102*(Tablero!$B$8/100))*(Tablero!$B$7/100)</f>
        <v>9.9488553336580604E-2</v>
      </c>
      <c r="AX102" s="8">
        <f>(AL102*(Tablero!$B$10/100)+AM102*(Tablero!$B$11/100)+AN102*(Tablero!$B$12/100)+AO102*(Tablero!$B$13/100)+AP102*(Tablero!$B$14/100))*(Tablero!$B$9/100)</f>
        <v>8.2827901867895778E-2</v>
      </c>
      <c r="AY102" s="8">
        <f>(AQ102*(Tablero!$B$16/100)+AR102*(Tablero!$B$17/100)+AS102*(Tablero!$B$18/100))*(Tablero!$B$15/100)</f>
        <v>0.15779914529914529</v>
      </c>
      <c r="AZ102" s="8">
        <f>(AT102*(Tablero!$B$20/100)+AU102*(Tablero!$B$21/100))*(Tablero!$B$19/100)</f>
        <v>1.3442620574249879E-2</v>
      </c>
    </row>
    <row r="103" spans="2:52" x14ac:dyDescent="0.4">
      <c r="B103" t="s">
        <v>243</v>
      </c>
      <c r="C103" t="s">
        <v>244</v>
      </c>
      <c r="D103" s="3">
        <v>26760</v>
      </c>
      <c r="E103" s="3">
        <v>272</v>
      </c>
      <c r="F103">
        <v>70</v>
      </c>
      <c r="G103">
        <v>28.5</v>
      </c>
      <c r="H103">
        <v>44.1</v>
      </c>
      <c r="I103">
        <v>74.3</v>
      </c>
      <c r="J103">
        <v>64</v>
      </c>
      <c r="K103">
        <v>0.24</v>
      </c>
      <c r="L103">
        <v>109</v>
      </c>
      <c r="M103">
        <v>2</v>
      </c>
      <c r="N103">
        <v>242.90938935999989</v>
      </c>
      <c r="O103" s="3">
        <v>4.58</v>
      </c>
      <c r="P103">
        <v>53</v>
      </c>
      <c r="Q103">
        <v>72.849264705882348</v>
      </c>
      <c r="R103">
        <v>51.1</v>
      </c>
      <c r="S103">
        <v>33.46</v>
      </c>
      <c r="T103">
        <v>42.28</v>
      </c>
      <c r="U103">
        <v>41.91</v>
      </c>
      <c r="V103" s="3">
        <v>55</v>
      </c>
      <c r="W103">
        <v>8</v>
      </c>
      <c r="X103">
        <v>7</v>
      </c>
      <c r="Y103">
        <v>1</v>
      </c>
      <c r="Z103">
        <v>0</v>
      </c>
      <c r="AA103" s="3">
        <v>29.9</v>
      </c>
      <c r="AB103">
        <v>107</v>
      </c>
      <c r="AC103">
        <v>52473.91</v>
      </c>
      <c r="AD103">
        <v>0.19</v>
      </c>
      <c r="AE103">
        <v>54.21</v>
      </c>
      <c r="AF103">
        <v>1.5</v>
      </c>
      <c r="AG103" s="10">
        <f>AV103+AW103+AX103+AY103+AZ103</f>
        <v>0.38960595281497701</v>
      </c>
      <c r="AH103" t="s">
        <v>41</v>
      </c>
      <c r="AI103" s="9">
        <f>(G103-MIN($G$2:$G$126))/(MAX($G$2:$G$126)-MIN($G$2:$G$126))</f>
        <v>0.51643192488262912</v>
      </c>
      <c r="AJ103" s="9">
        <f>(N103-MIN($N$2:$N$126))/(MAX($N$2:$N$126)-MIN($N$2:$N$126))</f>
        <v>5.1232660686490001E-3</v>
      </c>
      <c r="AK103" s="9">
        <f>(O103-MIN($O$2:$O$126))/(MAX($O$2:$O$126)-MIN($O$2:$O$126))</f>
        <v>0.2230881636629323</v>
      </c>
      <c r="AL103" s="9">
        <f>(S103-MIN($S$2:$S$126))/(MAX($S$2:$S$126)-MIN($S$2:$S$126))</f>
        <v>0.53375232774674108</v>
      </c>
      <c r="AM103" s="9">
        <f>(T103-MIN($T$2:$T$126))/(MAX($T$2:$T$126)-MIN($T$2:$T$126))</f>
        <v>0.33198905372317444</v>
      </c>
      <c r="AN103" s="9">
        <f>1-(AC103-MIN($AC$2:$AC$126))/(MAX($AC$2:$AC$126)-MIN($AC$2:$AC$126))</f>
        <v>0.62258071086046429</v>
      </c>
      <c r="AO103" s="9">
        <f>(AD103-MIN($AD$2:$AD$126))/(MAX($AD$2:$AD$126)-MIN($AD$2:$AD$126))</f>
        <v>0.11377245508982037</v>
      </c>
      <c r="AP103" s="9">
        <f>1-(AE103-MIN($AE$2:$AE$126))/(MAX($AE$2:$AE$126)-MIN($AE$2:$AE$126))</f>
        <v>0.45789999999999997</v>
      </c>
      <c r="AQ103" s="9">
        <f>(V103-MIN($V$2:$V$126))/(MAX($V$2:$V$126)-MIN($V$2:$V$126))</f>
        <v>0.15277777777777779</v>
      </c>
      <c r="AR103" s="9">
        <f>1-(Y103-MIN($Y$2:$Y$126))/(MAX($Y$2:$Y$126)-MIN($Y$2:$Y$126))</f>
        <v>0.98958333333333337</v>
      </c>
      <c r="AS103" s="9">
        <f>1-(AA103-MIN($AA$2:$AA$126))/(MAX($AA$2:$AA$126)-MIN($AA$2:$AA$126))</f>
        <v>0.80726965342349966</v>
      </c>
      <c r="AT103" s="9">
        <f>(K103-MIN($K$2:$K$126))/(MAX($K$2:$K$126)-MIN($K$2:$K$126))</f>
        <v>0.57575757575757569</v>
      </c>
      <c r="AU103" s="9">
        <f>(L103-MIN($L$2:$L$126))/(MAX($L$2:$L$126)-MIN($L$2:$L$126))</f>
        <v>1.4078731547293603E-2</v>
      </c>
      <c r="AV103" s="8">
        <f>(AI103*(Tablero!$B$5/100)+AJ103*(Tablero!$B$6/100))*(Tablero!$B$4/100)</f>
        <v>7.7977115339259259E-2</v>
      </c>
      <c r="AW103" s="8">
        <f>(AK103*(Tablero!$B$8/100))*(Tablero!$B$7/100)</f>
        <v>5.5772040915733075E-2</v>
      </c>
      <c r="AX103" s="8">
        <f>(AL103*(Tablero!$B$10/100)+AM103*(Tablero!$B$11/100)+AN103*(Tablero!$B$12/100)+AO103*(Tablero!$B$13/100)+AP103*(Tablero!$B$14/100))*(Tablero!$B$9/100)</f>
        <v>8.1953453097330986E-2</v>
      </c>
      <c r="AY103" s="8">
        <f>(AQ103*(Tablero!$B$16/100)+AR103*(Tablero!$B$17/100)+AS103*(Tablero!$B$18/100))*(Tablero!$B$15/100)</f>
        <v>0.15915743578003194</v>
      </c>
      <c r="AZ103" s="8">
        <f>(AT103*(Tablero!$B$20/100)+AU103*(Tablero!$B$21/100))*(Tablero!$B$19/100)</f>
        <v>1.4745907682621733E-2</v>
      </c>
    </row>
    <row r="104" spans="2:52" hidden="1" x14ac:dyDescent="0.4">
      <c r="B104" t="s">
        <v>245</v>
      </c>
      <c r="C104" t="s">
        <v>246</v>
      </c>
      <c r="D104" s="3">
        <v>156947</v>
      </c>
      <c r="E104" s="3">
        <v>909</v>
      </c>
      <c r="F104">
        <v>219</v>
      </c>
      <c r="G104">
        <v>16.3</v>
      </c>
      <c r="H104">
        <v>23.6</v>
      </c>
      <c r="I104">
        <v>75.900000000000006</v>
      </c>
      <c r="J104">
        <v>114</v>
      </c>
      <c r="K104">
        <v>0.12</v>
      </c>
      <c r="L104">
        <v>424</v>
      </c>
      <c r="M104">
        <v>8</v>
      </c>
      <c r="N104">
        <v>2223.57207509</v>
      </c>
      <c r="O104" s="3">
        <v>8.7200000000000006</v>
      </c>
      <c r="P104">
        <v>255</v>
      </c>
      <c r="Q104">
        <v>72.143014301430142</v>
      </c>
      <c r="R104">
        <v>50.06</v>
      </c>
      <c r="S104">
        <v>34.21</v>
      </c>
      <c r="T104">
        <v>46.64</v>
      </c>
      <c r="U104">
        <v>50.06</v>
      </c>
      <c r="V104" s="3">
        <v>120</v>
      </c>
      <c r="W104">
        <v>34</v>
      </c>
      <c r="X104">
        <v>26</v>
      </c>
      <c r="Y104">
        <v>8</v>
      </c>
      <c r="Z104">
        <v>0</v>
      </c>
      <c r="AA104" s="3">
        <v>21.7</v>
      </c>
      <c r="AB104">
        <v>120</v>
      </c>
      <c r="AC104">
        <v>61011.21</v>
      </c>
      <c r="AD104">
        <v>0.24</v>
      </c>
      <c r="AE104">
        <v>67.5</v>
      </c>
      <c r="AF104">
        <v>3.39</v>
      </c>
      <c r="AG104" s="10">
        <f>AV104+AW104+AX104+AY104+AZ104</f>
        <v>0.3962440741435509</v>
      </c>
      <c r="AH104" t="s">
        <v>41</v>
      </c>
      <c r="AI104" s="9">
        <f>(G104-MIN($G$2:$G$126))/(MAX($G$2:$G$126)-MIN($G$2:$G$126))</f>
        <v>0.23004694835680753</v>
      </c>
      <c r="AJ104" s="9">
        <f>(N104-MIN($N$2:$N$126))/(MAX($N$2:$N$126)-MIN($N$2:$N$126))</f>
        <v>4.6897945746431351E-2</v>
      </c>
      <c r="AK104" s="9">
        <f>(O104-MIN($O$2:$O$126))/(MAX($O$2:$O$126)-MIN($O$2:$O$126))</f>
        <v>0.42474427666829029</v>
      </c>
      <c r="AL104" s="9">
        <f>(S104-MIN($S$2:$S$126))/(MAX($S$2:$S$126)-MIN($S$2:$S$126))</f>
        <v>0.55121042830540035</v>
      </c>
      <c r="AM104" s="9">
        <f>(T104-MIN($T$2:$T$126))/(MAX($T$2:$T$126)-MIN($T$2:$T$126))</f>
        <v>0.39478611551202653</v>
      </c>
      <c r="AN104" s="9">
        <f>1-(AC104-MIN($AC$2:$AC$126))/(MAX($AC$2:$AC$126)-MIN($AC$2:$AC$126))</f>
        <v>0.53564220926218409</v>
      </c>
      <c r="AO104" s="9">
        <f>(AD104-MIN($AD$2:$AD$126))/(MAX($AD$2:$AD$126)-MIN($AD$2:$AD$126))</f>
        <v>0.1437125748502994</v>
      </c>
      <c r="AP104" s="9">
        <f>1-(AE104-MIN($AE$2:$AE$126))/(MAX($AE$2:$AE$126)-MIN($AE$2:$AE$126))</f>
        <v>0.32499999999999996</v>
      </c>
      <c r="AQ104" s="9">
        <f>(V104-MIN($V$2:$V$126))/(MAX($V$2:$V$126)-MIN($V$2:$V$126))</f>
        <v>0.33333333333333331</v>
      </c>
      <c r="AR104" s="9">
        <f>1-(Y104-MIN($Y$2:$Y$126))/(MAX($Y$2:$Y$126)-MIN($Y$2:$Y$126))</f>
        <v>0.91666666666666663</v>
      </c>
      <c r="AS104" s="9">
        <f>1-(AA104-MIN($AA$2:$AA$126))/(MAX($AA$2:$AA$126)-MIN($AA$2:$AA$126))</f>
        <v>0.87658495350803045</v>
      </c>
      <c r="AT104" s="9">
        <f>(K104-MIN($K$2:$K$126))/(MAX($K$2:$K$126)-MIN($K$2:$K$126))</f>
        <v>0.2121212121212121</v>
      </c>
      <c r="AU104" s="9">
        <f>(L104-MIN($L$2:$L$126))/(MAX($L$2:$L$126)-MIN($L$2:$L$126))</f>
        <v>5.7135046473482776E-2</v>
      </c>
      <c r="AV104" s="8">
        <f>(AI104*(Tablero!$B$5/100)+AJ104*(Tablero!$B$6/100))*(Tablero!$B$4/100)</f>
        <v>3.9196836828164265E-2</v>
      </c>
      <c r="AW104" s="8">
        <f>(AK104*(Tablero!$B$8/100))*(Tablero!$B$7/100)</f>
        <v>0.10618606916707257</v>
      </c>
      <c r="AX104" s="8">
        <f>(AL104*(Tablero!$B$10/100)+AM104*(Tablero!$B$11/100)+AN104*(Tablero!$B$12/100)+AO104*(Tablero!$B$13/100)+AP104*(Tablero!$B$14/100))*(Tablero!$B$9/100)</f>
        <v>7.429847117907927E-2</v>
      </c>
      <c r="AY104" s="8">
        <f>(AQ104*(Tablero!$B$16/100)+AR104*(Tablero!$B$17/100)+AS104*(Tablero!$B$18/100))*(Tablero!$B$15/100)</f>
        <v>0.16983129050436743</v>
      </c>
      <c r="AZ104" s="8">
        <f>(AT104*(Tablero!$B$20/100)+AU104*(Tablero!$B$21/100))*(Tablero!$B$19/100)</f>
        <v>6.7314064648673726E-3</v>
      </c>
    </row>
    <row r="105" spans="2:52" hidden="1" x14ac:dyDescent="0.4">
      <c r="B105" t="s">
        <v>247</v>
      </c>
      <c r="C105" t="s">
        <v>248</v>
      </c>
      <c r="D105" s="3">
        <v>85259</v>
      </c>
      <c r="E105" s="3">
        <v>532</v>
      </c>
      <c r="F105">
        <v>204</v>
      </c>
      <c r="G105">
        <v>17.7</v>
      </c>
      <c r="H105">
        <v>40.6</v>
      </c>
      <c r="I105">
        <v>61.7</v>
      </c>
      <c r="J105">
        <v>84</v>
      </c>
      <c r="K105">
        <v>0.16</v>
      </c>
      <c r="L105">
        <v>226</v>
      </c>
      <c r="M105">
        <v>7</v>
      </c>
      <c r="N105">
        <v>1272.3581933099999</v>
      </c>
      <c r="O105" s="3">
        <v>7.15</v>
      </c>
      <c r="P105">
        <v>178</v>
      </c>
      <c r="Q105">
        <v>72.161654135338352</v>
      </c>
      <c r="R105">
        <v>50.75</v>
      </c>
      <c r="S105">
        <v>31.95</v>
      </c>
      <c r="T105">
        <v>61.28</v>
      </c>
      <c r="U105">
        <v>56.02</v>
      </c>
      <c r="V105" s="3">
        <v>155</v>
      </c>
      <c r="W105">
        <v>19</v>
      </c>
      <c r="X105">
        <v>9</v>
      </c>
      <c r="Y105">
        <v>10</v>
      </c>
      <c r="Z105">
        <v>0</v>
      </c>
      <c r="AA105" s="3">
        <v>22.3</v>
      </c>
      <c r="AB105">
        <v>131</v>
      </c>
      <c r="AC105">
        <v>60364.71</v>
      </c>
      <c r="AD105">
        <v>0</v>
      </c>
      <c r="AE105">
        <v>68.7</v>
      </c>
      <c r="AF105">
        <v>4.84</v>
      </c>
      <c r="AG105" s="10">
        <f>AV105+AW105+AX105+AY105+AZ105</f>
        <v>0.39729089050118682</v>
      </c>
      <c r="AH105" t="s">
        <v>41</v>
      </c>
      <c r="AI105" s="9">
        <f>(G105-MIN($G$2:$G$126))/(MAX($G$2:$G$126)-MIN($G$2:$G$126))</f>
        <v>0.26291079812206569</v>
      </c>
      <c r="AJ105" s="9">
        <f>(N105-MIN($N$2:$N$126))/(MAX($N$2:$N$126)-MIN($N$2:$N$126))</f>
        <v>2.6835642607836125E-2</v>
      </c>
      <c r="AK105" s="9">
        <f>(O105-MIN($O$2:$O$126))/(MAX($O$2:$O$126)-MIN($O$2:$O$126))</f>
        <v>0.34827082318558206</v>
      </c>
      <c r="AL105" s="9">
        <f>(S105-MIN($S$2:$S$126))/(MAX($S$2:$S$126)-MIN($S$2:$S$126))</f>
        <v>0.49860335195530731</v>
      </c>
      <c r="AM105" s="9">
        <f>(T105-MIN($T$2:$T$126))/(MAX($T$2:$T$126)-MIN($T$2:$T$126))</f>
        <v>0.60564597436266743</v>
      </c>
      <c r="AN105" s="9">
        <f>1-(AC105-MIN($AC$2:$AC$126))/(MAX($AC$2:$AC$126)-MIN($AC$2:$AC$126))</f>
        <v>0.54222575924675631</v>
      </c>
      <c r="AO105" s="9">
        <f>(AD105-MIN($AD$2:$AD$126))/(MAX($AD$2:$AD$126)-MIN($AD$2:$AD$126))</f>
        <v>0</v>
      </c>
      <c r="AP105" s="9">
        <f>1-(AE105-MIN($AE$2:$AE$126))/(MAX($AE$2:$AE$126)-MIN($AE$2:$AE$126))</f>
        <v>0.31299999999999994</v>
      </c>
      <c r="AQ105" s="9">
        <f>(V105-MIN($V$2:$V$126))/(MAX($V$2:$V$126)-MIN($V$2:$V$126))</f>
        <v>0.43055555555555558</v>
      </c>
      <c r="AR105" s="9">
        <f>1-(Y105-MIN($Y$2:$Y$126))/(MAX($Y$2:$Y$126)-MIN($Y$2:$Y$126))</f>
        <v>0.89583333333333337</v>
      </c>
      <c r="AS105" s="9">
        <f>1-(AA105-MIN($AA$2:$AA$126))/(MAX($AA$2:$AA$126)-MIN($AA$2:$AA$126))</f>
        <v>0.87151310228233303</v>
      </c>
      <c r="AT105" s="9">
        <f>(K105-MIN($K$2:$K$126))/(MAX($K$2:$K$126)-MIN($K$2:$K$126))</f>
        <v>0.33333333333333331</v>
      </c>
      <c r="AU105" s="9">
        <f>(L105-MIN($L$2:$L$126))/(MAX($L$2:$L$126)-MIN($L$2:$L$126))</f>
        <v>3.0071077091306724E-2</v>
      </c>
      <c r="AV105" s="8">
        <f>(AI105*(Tablero!$B$5/100)+AJ105*(Tablero!$B$6/100))*(Tablero!$B$4/100)</f>
        <v>4.2120183979093465E-2</v>
      </c>
      <c r="AW105" s="8">
        <f>(AK105*(Tablero!$B$8/100))*(Tablero!$B$7/100)</f>
        <v>8.7067705796395514E-2</v>
      </c>
      <c r="AX105" s="8">
        <f>(AL105*(Tablero!$B$10/100)+AM105*(Tablero!$B$11/100)+AN105*(Tablero!$B$12/100)+AO105*(Tablero!$B$13/100)+AP105*(Tablero!$B$14/100))*(Tablero!$B$9/100)</f>
        <v>8.2195340685801324E-2</v>
      </c>
      <c r="AY105" s="8">
        <f>(AQ105*(Tablero!$B$16/100)+AR105*(Tablero!$B$17/100)+AS105*(Tablero!$B$18/100))*(Tablero!$B$15/100)</f>
        <v>0.17682254977928055</v>
      </c>
      <c r="AZ105" s="8">
        <f>(AT105*(Tablero!$B$20/100)+AU105*(Tablero!$B$21/100))*(Tablero!$B$19/100)</f>
        <v>9.0851102606160014E-3</v>
      </c>
    </row>
    <row r="106" spans="2:52" hidden="1" x14ac:dyDescent="0.4">
      <c r="B106" t="s">
        <v>249</v>
      </c>
      <c r="C106" s="4" t="s">
        <v>250</v>
      </c>
      <c r="D106" s="3">
        <v>110122</v>
      </c>
      <c r="E106" s="3">
        <v>931</v>
      </c>
      <c r="F106">
        <v>310</v>
      </c>
      <c r="G106">
        <v>23.8</v>
      </c>
      <c r="H106">
        <v>47.5</v>
      </c>
      <c r="I106">
        <v>66.7</v>
      </c>
      <c r="J106">
        <v>170</v>
      </c>
      <c r="K106">
        <v>0.18</v>
      </c>
      <c r="L106">
        <v>454</v>
      </c>
      <c r="M106">
        <v>6</v>
      </c>
      <c r="N106">
        <v>2350.674468369999</v>
      </c>
      <c r="O106" s="3">
        <v>9.0399999999999991</v>
      </c>
      <c r="P106">
        <v>260</v>
      </c>
      <c r="Q106">
        <v>70.792696025778739</v>
      </c>
      <c r="R106">
        <v>49.19</v>
      </c>
      <c r="S106">
        <v>12.57</v>
      </c>
      <c r="T106">
        <v>29.43</v>
      </c>
      <c r="U106">
        <v>45.11</v>
      </c>
      <c r="V106" s="3">
        <v>85</v>
      </c>
      <c r="W106">
        <v>20</v>
      </c>
      <c r="X106">
        <v>15</v>
      </c>
      <c r="Y106">
        <v>5</v>
      </c>
      <c r="Z106">
        <v>0</v>
      </c>
      <c r="AA106" s="3">
        <v>18.2</v>
      </c>
      <c r="AB106">
        <v>192</v>
      </c>
      <c r="AC106">
        <v>46053.04</v>
      </c>
      <c r="AD106">
        <v>0.09</v>
      </c>
      <c r="AE106">
        <v>46.35</v>
      </c>
      <c r="AF106">
        <v>2.83</v>
      </c>
      <c r="AG106" s="10">
        <f>AV106+AW106+AX106+AY106+AZ106</f>
        <v>0.41961204229028803</v>
      </c>
      <c r="AH106" t="s">
        <v>41</v>
      </c>
      <c r="AI106" s="9">
        <f>(G106-MIN($G$2:$G$126))/(MAX($G$2:$G$126)-MIN($G$2:$G$126))</f>
        <v>0.4061032863849765</v>
      </c>
      <c r="AJ106" s="9">
        <f>(N106-MIN($N$2:$N$126))/(MAX($N$2:$N$126)-MIN($N$2:$N$126))</f>
        <v>4.9578695883143564E-2</v>
      </c>
      <c r="AK106" s="9">
        <f>(O106-MIN($O$2:$O$126))/(MAX($O$2:$O$126)-MIN($O$2:$O$126))</f>
        <v>0.44033122260107155</v>
      </c>
      <c r="AL106" s="9">
        <f>(S106-MIN($S$2:$S$126))/(MAX($S$2:$S$126)-MIN($S$2:$S$126))</f>
        <v>4.7486033519553092E-2</v>
      </c>
      <c r="AM106" s="9">
        <f>(T106-MIN($T$2:$T$126))/(MAX($T$2:$T$126)-MIN($T$2:$T$126))</f>
        <v>0.14691055739593836</v>
      </c>
      <c r="AN106" s="9">
        <f>1-(AC106-MIN($AC$2:$AC$126))/(MAX($AC$2:$AC$126)-MIN($AC$2:$AC$126))</f>
        <v>0.68796681850074282</v>
      </c>
      <c r="AO106" s="9">
        <f>(AD106-MIN($AD$2:$AD$126))/(MAX($AD$2:$AD$126)-MIN($AD$2:$AD$126))</f>
        <v>5.3892215568862277E-2</v>
      </c>
      <c r="AP106" s="9">
        <f>1-(AE106-MIN($AE$2:$AE$126))/(MAX($AE$2:$AE$126)-MIN($AE$2:$AE$126))</f>
        <v>0.53649999999999998</v>
      </c>
      <c r="AQ106" s="9">
        <f>(V106-MIN($V$2:$V$126))/(MAX($V$2:$V$126)-MIN($V$2:$V$126))</f>
        <v>0.2361111111111111</v>
      </c>
      <c r="AR106" s="9">
        <f>1-(Y106-MIN($Y$2:$Y$126))/(MAX($Y$2:$Y$126)-MIN($Y$2:$Y$126))</f>
        <v>0.94791666666666663</v>
      </c>
      <c r="AS106" s="9">
        <f>1-(AA106-MIN($AA$2:$AA$126))/(MAX($AA$2:$AA$126)-MIN($AA$2:$AA$126))</f>
        <v>0.90617075232459854</v>
      </c>
      <c r="AT106" s="9">
        <f>(K106-MIN($K$2:$K$126))/(MAX($K$2:$K$126)-MIN($K$2:$K$126))</f>
        <v>0.39393939393939392</v>
      </c>
      <c r="AU106" s="9">
        <f>(L106-MIN($L$2:$L$126))/(MAX($L$2:$L$126)-MIN($L$2:$L$126))</f>
        <v>6.12356478950246E-2</v>
      </c>
      <c r="AV106" s="8">
        <f>(AI106*(Tablero!$B$5/100)+AJ106*(Tablero!$B$6/100))*(Tablero!$B$4/100)</f>
        <v>6.5873362546060826E-2</v>
      </c>
      <c r="AW106" s="8">
        <f>(AK106*(Tablero!$B$8/100))*(Tablero!$B$7/100)</f>
        <v>0.11008280565026789</v>
      </c>
      <c r="AX106" s="8">
        <f>(AL106*(Tablero!$B$10/100)+AM106*(Tablero!$B$11/100)+AN106*(Tablero!$B$12/100)+AO106*(Tablero!$B$13/100)+AP106*(Tablero!$B$14/100))*(Tablero!$B$9/100)</f>
        <v>6.7521534795539476E-2</v>
      </c>
      <c r="AY106" s="8">
        <f>(AQ106*(Tablero!$B$16/100)+AR106*(Tablero!$B$17/100)+AS106*(Tablero!$B$18/100))*(Tablero!$B$15/100)</f>
        <v>0.16475496325255942</v>
      </c>
      <c r="AZ106" s="8">
        <f>(AT106*(Tablero!$B$20/100)+AU106*(Tablero!$B$21/100))*(Tablero!$B$19/100)</f>
        <v>1.1379376045860465E-2</v>
      </c>
    </row>
    <row r="107" spans="2:52" x14ac:dyDescent="0.4">
      <c r="B107" t="s">
        <v>197</v>
      </c>
      <c r="C107" t="s">
        <v>198</v>
      </c>
      <c r="D107" s="3">
        <v>24833</v>
      </c>
      <c r="E107" s="3">
        <v>124</v>
      </c>
      <c r="F107">
        <v>23</v>
      </c>
      <c r="G107">
        <v>14.2</v>
      </c>
      <c r="H107">
        <v>15.9</v>
      </c>
      <c r="I107">
        <v>81.5</v>
      </c>
      <c r="J107">
        <v>10</v>
      </c>
      <c r="K107">
        <v>0.08</v>
      </c>
      <c r="L107">
        <v>46</v>
      </c>
      <c r="M107">
        <v>0</v>
      </c>
      <c r="N107">
        <v>78.906260859999975</v>
      </c>
      <c r="O107" s="3">
        <v>7.89</v>
      </c>
      <c r="P107">
        <v>10</v>
      </c>
      <c r="Q107">
        <v>71.508064516129039</v>
      </c>
      <c r="R107">
        <v>46.77</v>
      </c>
      <c r="S107">
        <v>35.479999999999997</v>
      </c>
      <c r="T107">
        <v>55.65</v>
      </c>
      <c r="U107">
        <v>58.87</v>
      </c>
      <c r="V107" s="3">
        <v>65</v>
      </c>
      <c r="W107">
        <v>4</v>
      </c>
      <c r="X107">
        <v>4</v>
      </c>
      <c r="Y107">
        <v>0</v>
      </c>
      <c r="Z107">
        <v>0</v>
      </c>
      <c r="AA107" s="3">
        <v>16.100000000000001</v>
      </c>
      <c r="AB107">
        <v>21</v>
      </c>
      <c r="AC107">
        <v>46244.67</v>
      </c>
      <c r="AD107">
        <v>1.05</v>
      </c>
      <c r="AE107">
        <v>66.67</v>
      </c>
      <c r="AF107">
        <v>13.31</v>
      </c>
      <c r="AG107" s="10">
        <f>AV107+AW107+AX107+AY107+AZ107</f>
        <v>0.3879690741700727</v>
      </c>
      <c r="AH107" t="s">
        <v>41</v>
      </c>
      <c r="AI107" s="9">
        <f>(G107-MIN($G$2:$G$126))/(MAX($G$2:$G$126)-MIN($G$2:$G$126))</f>
        <v>0.18075117370892016</v>
      </c>
      <c r="AJ107" s="9">
        <f>(N107-MIN($N$2:$N$126))/(MAX($N$2:$N$126)-MIN($N$2:$N$126))</f>
        <v>1.6642327821625739E-3</v>
      </c>
      <c r="AK107" s="9">
        <f>(O107-MIN($O$2:$O$126))/(MAX($O$2:$O$126)-MIN($O$2:$O$126))</f>
        <v>0.38431563565513877</v>
      </c>
      <c r="AL107" s="9">
        <f>(S107-MIN($S$2:$S$126))/(MAX($S$2:$S$126)-MIN($S$2:$S$126))</f>
        <v>0.58077281191806318</v>
      </c>
      <c r="AM107" s="9">
        <f>(T107-MIN($T$2:$T$126))/(MAX($T$2:$T$126)-MIN($T$2:$T$126))</f>
        <v>0.52455710787843879</v>
      </c>
      <c r="AN107" s="9">
        <f>1-(AC107-MIN($AC$2:$AC$126))/(MAX($AC$2:$AC$126)-MIN($AC$2:$AC$126))</f>
        <v>0.68601537892836295</v>
      </c>
      <c r="AO107" s="9">
        <f>(AD107-MIN($AD$2:$AD$126))/(MAX($AD$2:$AD$126)-MIN($AD$2:$AD$126))</f>
        <v>0.62874251497005995</v>
      </c>
      <c r="AP107" s="9">
        <f>1-(AE107-MIN($AE$2:$AE$126))/(MAX($AE$2:$AE$126)-MIN($AE$2:$AE$126))</f>
        <v>0.33329999999999993</v>
      </c>
      <c r="AQ107" s="9">
        <f>(V107-MIN($V$2:$V$126))/(MAX($V$2:$V$126)-MIN($V$2:$V$126))</f>
        <v>0.18055555555555555</v>
      </c>
      <c r="AR107" s="9">
        <f>1-(Y107-MIN($Y$2:$Y$126))/(MAX($Y$2:$Y$126)-MIN($Y$2:$Y$126))</f>
        <v>1</v>
      </c>
      <c r="AS107" s="9">
        <f>1-(AA107-MIN($AA$2:$AA$126))/(MAX($AA$2:$AA$126)-MIN($AA$2:$AA$126))</f>
        <v>0.92392223161453935</v>
      </c>
      <c r="AT107" s="9">
        <f>(K107-MIN($K$2:$K$126))/(MAX($K$2:$K$126)-MIN($K$2:$K$126))</f>
        <v>9.0909090909090898E-2</v>
      </c>
      <c r="AU107" s="9">
        <f>(L107-MIN($L$2:$L$126))/(MAX($L$2:$L$126)-MIN($L$2:$L$126))</f>
        <v>5.4674685620557679E-3</v>
      </c>
      <c r="AV107" s="8">
        <f>(AI107*(Tablero!$B$5/100)+AJ107*(Tablero!$B$6/100))*(Tablero!$B$4/100)</f>
        <v>2.7279099334554281E-2</v>
      </c>
      <c r="AW107" s="8">
        <f>(AK107*(Tablero!$B$8/100))*(Tablero!$B$7/100)</f>
        <v>9.6078908913784691E-2</v>
      </c>
      <c r="AX107" s="8">
        <f>(AL107*(Tablero!$B$10/100)+AM107*(Tablero!$B$11/100)+AN107*(Tablero!$B$12/100)+AO107*(Tablero!$B$13/100)+AP107*(Tablero!$B$14/100))*(Tablero!$B$9/100)</f>
        <v>9.6048040589036043E-2</v>
      </c>
      <c r="AY107" s="8">
        <f>(AQ107*(Tablero!$B$16/100)+AR107*(Tablero!$B$17/100)+AS107*(Tablero!$B$18/100))*(Tablero!$B$15/100)</f>
        <v>0.16615361134591902</v>
      </c>
      <c r="AZ107" s="8">
        <f>(AT107*(Tablero!$B$20/100)+AU107*(Tablero!$B$21/100))*(Tablero!$B$19/100)</f>
        <v>2.4094139867786666E-3</v>
      </c>
    </row>
    <row r="108" spans="2:52" x14ac:dyDescent="0.4">
      <c r="B108" t="s">
        <v>199</v>
      </c>
      <c r="C108" t="s">
        <v>200</v>
      </c>
      <c r="D108" s="3">
        <v>32342</v>
      </c>
      <c r="E108" s="3">
        <v>231</v>
      </c>
      <c r="F108">
        <v>89</v>
      </c>
      <c r="G108">
        <v>19.8</v>
      </c>
      <c r="H108">
        <v>45.6</v>
      </c>
      <c r="I108">
        <v>61.5</v>
      </c>
      <c r="J108">
        <v>37</v>
      </c>
      <c r="K108">
        <v>0.16</v>
      </c>
      <c r="L108">
        <v>109</v>
      </c>
      <c r="M108">
        <v>1</v>
      </c>
      <c r="N108">
        <v>237.5355856599999</v>
      </c>
      <c r="O108" s="3">
        <v>3.71</v>
      </c>
      <c r="P108">
        <v>64</v>
      </c>
      <c r="Q108">
        <v>73.333333333333329</v>
      </c>
      <c r="R108">
        <v>59.74</v>
      </c>
      <c r="S108">
        <v>33.33</v>
      </c>
      <c r="T108">
        <v>63.64</v>
      </c>
      <c r="U108">
        <v>61.9</v>
      </c>
      <c r="V108" s="3">
        <v>170</v>
      </c>
      <c r="W108">
        <v>7</v>
      </c>
      <c r="X108">
        <v>6</v>
      </c>
      <c r="Y108">
        <v>0</v>
      </c>
      <c r="Z108">
        <v>1</v>
      </c>
      <c r="AA108" s="3">
        <v>21.6</v>
      </c>
      <c r="AB108">
        <v>55</v>
      </c>
      <c r="AC108">
        <v>52157.1</v>
      </c>
      <c r="AD108">
        <v>0</v>
      </c>
      <c r="AE108">
        <v>67.27</v>
      </c>
      <c r="AF108">
        <v>3.34</v>
      </c>
      <c r="AG108" s="10">
        <f>AV108+AW108+AX108+AY108+AZ108</f>
        <v>0.38304593339723375</v>
      </c>
      <c r="AH108" t="s">
        <v>41</v>
      </c>
      <c r="AI108" s="9">
        <f>(G108-MIN($G$2:$G$126))/(MAX($G$2:$G$126)-MIN($G$2:$G$126))</f>
        <v>0.31220657276995306</v>
      </c>
      <c r="AJ108" s="9">
        <f>(N108-MIN($N$2:$N$126))/(MAX($N$2:$N$126)-MIN($N$2:$N$126))</f>
        <v>5.0099257559162221E-3</v>
      </c>
      <c r="AK108" s="9">
        <f>(O108-MIN($O$2:$O$126))/(MAX($O$2:$O$126)-MIN($O$2:$O$126))</f>
        <v>0.18071115440818314</v>
      </c>
      <c r="AL108" s="9">
        <f>(S108-MIN($S$2:$S$126))/(MAX($S$2:$S$126)-MIN($S$2:$S$126))</f>
        <v>0.53072625698324016</v>
      </c>
      <c r="AM108" s="9">
        <f>(T108-MIN($T$2:$T$126))/(MAX($T$2:$T$126)-MIN($T$2:$T$126))</f>
        <v>0.63963704450525716</v>
      </c>
      <c r="AN108" s="9">
        <f>1-(AC108-MIN($AC$2:$AC$126))/(MAX($AC$2:$AC$126)-MIN($AC$2:$AC$126))</f>
        <v>0.62580690493720414</v>
      </c>
      <c r="AO108" s="9">
        <f>(AD108-MIN($AD$2:$AD$126))/(MAX($AD$2:$AD$126)-MIN($AD$2:$AD$126))</f>
        <v>0</v>
      </c>
      <c r="AP108" s="9">
        <f>1-(AE108-MIN($AE$2:$AE$126))/(MAX($AE$2:$AE$126)-MIN($AE$2:$AE$126))</f>
        <v>0.32730000000000004</v>
      </c>
      <c r="AQ108" s="9">
        <f>(V108-MIN($V$2:$V$126))/(MAX($V$2:$V$126)-MIN($V$2:$V$126))</f>
        <v>0.47222222222222221</v>
      </c>
      <c r="AR108" s="9">
        <f>1-(Y108-MIN($Y$2:$Y$126))/(MAX($Y$2:$Y$126)-MIN($Y$2:$Y$126))</f>
        <v>1</v>
      </c>
      <c r="AS108" s="9">
        <f>1-(AA108-MIN($AA$2:$AA$126))/(MAX($AA$2:$AA$126)-MIN($AA$2:$AA$126))</f>
        <v>0.87743026204564667</v>
      </c>
      <c r="AT108" s="9">
        <f>(K108-MIN($K$2:$K$126))/(MAX($K$2:$K$126)-MIN($K$2:$K$126))</f>
        <v>0.33333333333333331</v>
      </c>
      <c r="AU108" s="9">
        <f>(L108-MIN($L$2:$L$126))/(MAX($L$2:$L$126)-MIN($L$2:$L$126))</f>
        <v>1.4078731547293603E-2</v>
      </c>
      <c r="AV108" s="8">
        <f>(AI108*(Tablero!$B$5/100)+AJ108*(Tablero!$B$6/100))*(Tablero!$B$4/100)</f>
        <v>4.7331978491084579E-2</v>
      </c>
      <c r="AW108" s="8">
        <f>(AK108*(Tablero!$B$8/100))*(Tablero!$B$7/100)</f>
        <v>4.5177788602045785E-2</v>
      </c>
      <c r="AX108" s="8">
        <f>(AL108*(Tablero!$B$10/100)+AM108*(Tablero!$B$11/100)+AN108*(Tablero!$B$12/100)+AO108*(Tablero!$B$13/100)+AP108*(Tablero!$B$14/100))*(Tablero!$B$9/100)</f>
        <v>8.769288590872433E-2</v>
      </c>
      <c r="AY108" s="8">
        <f>(AQ108*(Tablero!$B$16/100)+AR108*(Tablero!$B$17/100)+AS108*(Tablero!$B$18/100))*(Tablero!$B$15/100)</f>
        <v>0.19415797877336338</v>
      </c>
      <c r="AZ108" s="8">
        <f>(AT108*(Tablero!$B$20/100)+AU108*(Tablero!$B$21/100))*(Tablero!$B$19/100)</f>
        <v>8.6853016220156728E-3</v>
      </c>
    </row>
    <row r="109" spans="2:52" x14ac:dyDescent="0.4">
      <c r="B109" t="s">
        <v>265</v>
      </c>
      <c r="C109" t="s">
        <v>266</v>
      </c>
      <c r="D109" s="3">
        <v>24542</v>
      </c>
      <c r="E109" s="3">
        <v>217</v>
      </c>
      <c r="F109">
        <v>71</v>
      </c>
      <c r="G109">
        <v>24.8</v>
      </c>
      <c r="H109">
        <v>48.7</v>
      </c>
      <c r="I109">
        <v>67.3</v>
      </c>
      <c r="J109">
        <v>40</v>
      </c>
      <c r="K109">
        <v>0.18</v>
      </c>
      <c r="L109">
        <v>102</v>
      </c>
      <c r="M109">
        <v>1</v>
      </c>
      <c r="N109">
        <v>171.03948779000001</v>
      </c>
      <c r="O109" s="3">
        <v>6.33</v>
      </c>
      <c r="P109">
        <v>27</v>
      </c>
      <c r="Q109">
        <v>72.147465437788014</v>
      </c>
      <c r="R109">
        <v>45.62</v>
      </c>
      <c r="S109">
        <v>35.94</v>
      </c>
      <c r="T109">
        <v>26.27</v>
      </c>
      <c r="U109">
        <v>45.62</v>
      </c>
      <c r="V109" s="3">
        <v>60</v>
      </c>
      <c r="W109">
        <v>9</v>
      </c>
      <c r="X109">
        <v>7</v>
      </c>
      <c r="Y109">
        <v>2</v>
      </c>
      <c r="Z109">
        <v>0</v>
      </c>
      <c r="AA109" s="3">
        <v>36.700000000000003</v>
      </c>
      <c r="AB109">
        <v>21</v>
      </c>
      <c r="AC109">
        <v>68987.679999999993</v>
      </c>
      <c r="AD109">
        <v>0.1</v>
      </c>
      <c r="AE109">
        <v>57.14</v>
      </c>
      <c r="AF109">
        <v>7.35</v>
      </c>
      <c r="AG109" s="10">
        <f>AV109+AW109+AX109+AY109+AZ109</f>
        <v>0.37235076808825784</v>
      </c>
      <c r="AH109" t="s">
        <v>41</v>
      </c>
      <c r="AI109" s="9">
        <f>(G109-MIN($G$2:$G$126))/(MAX($G$2:$G$126)-MIN($G$2:$G$126))</f>
        <v>0.42957746478873238</v>
      </c>
      <c r="AJ109" s="9">
        <f>(N109-MIN($N$2:$N$126))/(MAX($N$2:$N$126)-MIN($N$2:$N$126))</f>
        <v>3.6074389981481298E-3</v>
      </c>
      <c r="AK109" s="9">
        <f>(O109-MIN($O$2:$O$126))/(MAX($O$2:$O$126)-MIN($O$2:$O$126))</f>
        <v>0.30832927423282996</v>
      </c>
      <c r="AL109" s="9">
        <f>(S109-MIN($S$2:$S$126))/(MAX($S$2:$S$126)-MIN($S$2:$S$126))</f>
        <v>0.59148044692737423</v>
      </c>
      <c r="AM109" s="9">
        <f>(T109-MIN($T$2:$T$126))/(MAX($T$2:$T$126)-MIN($T$2:$T$126))</f>
        <v>0.10139709059484373</v>
      </c>
      <c r="AN109" s="9">
        <f>1-(AC109-MIN($AC$2:$AC$126))/(MAX($AC$2:$AC$126)-MIN($AC$2:$AC$126))</f>
        <v>0.45441484817101552</v>
      </c>
      <c r="AO109" s="9">
        <f>(AD109-MIN($AD$2:$AD$126))/(MAX($AD$2:$AD$126)-MIN($AD$2:$AD$126))</f>
        <v>5.9880239520958091E-2</v>
      </c>
      <c r="AP109" s="9">
        <f>1-(AE109-MIN($AE$2:$AE$126))/(MAX($AE$2:$AE$126)-MIN($AE$2:$AE$126))</f>
        <v>0.42859999999999998</v>
      </c>
      <c r="AQ109" s="9">
        <f>(V109-MIN($V$2:$V$126))/(MAX($V$2:$V$126)-MIN($V$2:$V$126))</f>
        <v>0.16666666666666666</v>
      </c>
      <c r="AR109" s="9">
        <f>1-(Y109-MIN($Y$2:$Y$126))/(MAX($Y$2:$Y$126)-MIN($Y$2:$Y$126))</f>
        <v>0.97916666666666663</v>
      </c>
      <c r="AS109" s="9">
        <f>1-(AA109-MIN($AA$2:$AA$126))/(MAX($AA$2:$AA$126)-MIN($AA$2:$AA$126))</f>
        <v>0.74978867286559603</v>
      </c>
      <c r="AT109" s="9">
        <f>(K109-MIN($K$2:$K$126))/(MAX($K$2:$K$126)-MIN($K$2:$K$126))</f>
        <v>0.39393939393939392</v>
      </c>
      <c r="AU109" s="9">
        <f>(L109-MIN($L$2:$L$126))/(MAX($L$2:$L$126)-MIN($L$2:$L$126))</f>
        <v>1.3121924548933843E-2</v>
      </c>
      <c r="AV109" s="8">
        <f>(AI109*(Tablero!$B$5/100)+AJ109*(Tablero!$B$6/100))*(Tablero!$B$4/100)</f>
        <v>6.4797363618124673E-2</v>
      </c>
      <c r="AW109" s="8">
        <f>(AK109*(Tablero!$B$8/100))*(Tablero!$B$7/100)</f>
        <v>7.7082318558207491E-2</v>
      </c>
      <c r="AX109" s="8">
        <f>(AL109*(Tablero!$B$10/100)+AM109*(Tablero!$B$11/100)+AN109*(Tablero!$B$12/100)+AO109*(Tablero!$B$13/100)+AP109*(Tablero!$B$14/100))*(Tablero!$B$9/100)</f>
        <v>6.2487336128077581E-2</v>
      </c>
      <c r="AY109" s="8">
        <f>(AQ109*(Tablero!$B$16/100)+AR109*(Tablero!$B$17/100)+AS109*(Tablero!$B$18/100))*(Tablero!$B$15/100)</f>
        <v>0.1578072168216399</v>
      </c>
      <c r="AZ109" s="8">
        <f>(AT109*(Tablero!$B$20/100)+AU109*(Tablero!$B$21/100))*(Tablero!$B$19/100)</f>
        <v>1.0176532962208195E-2</v>
      </c>
    </row>
    <row r="110" spans="2:52" hidden="1" x14ac:dyDescent="0.4">
      <c r="B110" t="s">
        <v>257</v>
      </c>
      <c r="C110" t="s">
        <v>258</v>
      </c>
      <c r="D110" s="3">
        <v>67042</v>
      </c>
      <c r="E110" s="3">
        <v>474</v>
      </c>
      <c r="F110">
        <v>200</v>
      </c>
      <c r="G110">
        <v>20</v>
      </c>
      <c r="H110">
        <v>50.5</v>
      </c>
      <c r="I110">
        <v>57.8</v>
      </c>
      <c r="J110">
        <v>88</v>
      </c>
      <c r="K110">
        <v>0.19</v>
      </c>
      <c r="L110">
        <v>247</v>
      </c>
      <c r="M110">
        <v>7</v>
      </c>
      <c r="N110">
        <v>893.02912548999973</v>
      </c>
      <c r="O110" s="3">
        <v>6.92</v>
      </c>
      <c r="P110">
        <v>129</v>
      </c>
      <c r="Q110">
        <v>72.179324894514764</v>
      </c>
      <c r="R110">
        <v>48.95</v>
      </c>
      <c r="S110">
        <v>18.78</v>
      </c>
      <c r="T110">
        <v>48.52</v>
      </c>
      <c r="U110">
        <v>52.11</v>
      </c>
      <c r="V110" s="3">
        <v>105</v>
      </c>
      <c r="W110">
        <v>15</v>
      </c>
      <c r="X110">
        <v>12</v>
      </c>
      <c r="Y110">
        <v>3</v>
      </c>
      <c r="Z110">
        <v>0</v>
      </c>
      <c r="AA110" s="3">
        <v>22.4</v>
      </c>
      <c r="AB110">
        <v>398</v>
      </c>
      <c r="AC110">
        <v>49178.66</v>
      </c>
      <c r="AD110">
        <v>0.25</v>
      </c>
      <c r="AE110">
        <v>40.700000000000003</v>
      </c>
      <c r="AF110">
        <v>3.85</v>
      </c>
      <c r="AG110" s="10">
        <f>AV110+AW110+AX110+AY110+AZ110</f>
        <v>0.40985172689929478</v>
      </c>
      <c r="AH110" t="s">
        <v>41</v>
      </c>
      <c r="AI110" s="9">
        <f>(G110-MIN($G$2:$G$126))/(MAX($G$2:$G$126)-MIN($G$2:$G$126))</f>
        <v>0.31690140845070419</v>
      </c>
      <c r="AJ110" s="9">
        <f>(N110-MIN($N$2:$N$126))/(MAX($N$2:$N$126)-MIN($N$2:$N$126))</f>
        <v>1.8835113080612816E-2</v>
      </c>
      <c r="AK110" s="9">
        <f>(O110-MIN($O$2:$O$126))/(MAX($O$2:$O$126)-MIN($O$2:$O$126))</f>
        <v>0.3370677057963955</v>
      </c>
      <c r="AL110" s="9">
        <f>(S110-MIN($S$2:$S$126))/(MAX($S$2:$S$126)-MIN($S$2:$S$126))</f>
        <v>0.19203910614525144</v>
      </c>
      <c r="AM110" s="9">
        <f>(T110-MIN($T$2:$T$126))/(MAX($T$2:$T$126)-MIN($T$2:$T$126))</f>
        <v>0.42186374765951329</v>
      </c>
      <c r="AN110" s="9">
        <f>1-(AC110-MIN($AC$2:$AC$126))/(MAX($AC$2:$AC$126)-MIN($AC$2:$AC$126))</f>
        <v>0.65613746737502199</v>
      </c>
      <c r="AO110" s="9">
        <f>(AD110-MIN($AD$2:$AD$126))/(MAX($AD$2:$AD$126)-MIN($AD$2:$AD$126))</f>
        <v>0.14970059880239522</v>
      </c>
      <c r="AP110" s="9">
        <f>1-(AE110-MIN($AE$2:$AE$126))/(MAX($AE$2:$AE$126)-MIN($AE$2:$AE$126))</f>
        <v>0.59299999999999997</v>
      </c>
      <c r="AQ110" s="9">
        <f>(V110-MIN($V$2:$V$126))/(MAX($V$2:$V$126)-MIN($V$2:$V$126))</f>
        <v>0.29166666666666669</v>
      </c>
      <c r="AR110" s="9">
        <f>1-(Y110-MIN($Y$2:$Y$126))/(MAX($Y$2:$Y$126)-MIN($Y$2:$Y$126))</f>
        <v>0.96875</v>
      </c>
      <c r="AS110" s="9">
        <f>1-(AA110-MIN($AA$2:$AA$126))/(MAX($AA$2:$AA$126)-MIN($AA$2:$AA$126))</f>
        <v>0.87066779374471681</v>
      </c>
      <c r="AT110" s="9">
        <f>(K110-MIN($K$2:$K$126))/(MAX($K$2:$K$126)-MIN($K$2:$K$126))</f>
        <v>0.42424242424242425</v>
      </c>
      <c r="AU110" s="9">
        <f>(L110-MIN($L$2:$L$126))/(MAX($L$2:$L$126)-MIN($L$2:$L$126))</f>
        <v>3.2941498086386002E-2</v>
      </c>
      <c r="AV110" s="8">
        <f>(AI110*(Tablero!$B$5/100)+AJ110*(Tablero!$B$6/100))*(Tablero!$B$4/100)</f>
        <v>4.9418722575666908E-2</v>
      </c>
      <c r="AW110" s="8">
        <f>(AK110*(Tablero!$B$8/100))*(Tablero!$B$7/100)</f>
        <v>8.4266926449098875E-2</v>
      </c>
      <c r="AX110" s="8">
        <f>(AL110*(Tablero!$B$10/100)+AM110*(Tablero!$B$11/100)+AN110*(Tablero!$B$12/100)+AO110*(Tablero!$B$13/100)+AP110*(Tablero!$B$14/100))*(Tablero!$B$9/100)</f>
        <v>9.2709368306024165E-2</v>
      </c>
      <c r="AY110" s="8">
        <f>(AQ110*(Tablero!$B$16/100)+AR110*(Tablero!$B$17/100)+AS110*(Tablero!$B$18/100))*(Tablero!$B$15/100)</f>
        <v>0.1720271115102846</v>
      </c>
      <c r="AZ110" s="8">
        <f>(AT110*(Tablero!$B$20/100)+AU110*(Tablero!$B$21/100))*(Tablero!$B$19/100)</f>
        <v>1.1429598058220258E-2</v>
      </c>
    </row>
    <row r="111" spans="2:52" x14ac:dyDescent="0.4">
      <c r="B111" t="s">
        <v>255</v>
      </c>
      <c r="C111" t="s">
        <v>256</v>
      </c>
      <c r="D111" s="3">
        <v>21527</v>
      </c>
      <c r="E111" s="3">
        <v>155</v>
      </c>
      <c r="F111">
        <v>57</v>
      </c>
      <c r="G111">
        <v>20.7</v>
      </c>
      <c r="H111">
        <v>45.8</v>
      </c>
      <c r="I111">
        <v>63.2</v>
      </c>
      <c r="J111">
        <v>34</v>
      </c>
      <c r="K111">
        <v>0.22</v>
      </c>
      <c r="L111">
        <v>76</v>
      </c>
      <c r="M111">
        <v>1</v>
      </c>
      <c r="N111">
        <v>222.8257148699999</v>
      </c>
      <c r="O111" s="3">
        <v>3.71</v>
      </c>
      <c r="P111">
        <v>60</v>
      </c>
      <c r="Q111">
        <v>73.838709677419359</v>
      </c>
      <c r="R111">
        <v>49.03</v>
      </c>
      <c r="S111">
        <v>43.23</v>
      </c>
      <c r="T111">
        <v>61.94</v>
      </c>
      <c r="U111">
        <v>56.77</v>
      </c>
      <c r="V111" s="3">
        <v>120</v>
      </c>
      <c r="W111">
        <v>11</v>
      </c>
      <c r="X111">
        <v>10</v>
      </c>
      <c r="Y111">
        <v>1</v>
      </c>
      <c r="Z111">
        <v>0</v>
      </c>
      <c r="AA111" s="3">
        <v>51.1</v>
      </c>
      <c r="AB111">
        <v>23</v>
      </c>
      <c r="AC111">
        <v>47298.38</v>
      </c>
      <c r="AD111">
        <v>0</v>
      </c>
      <c r="AE111">
        <v>78.260000000000005</v>
      </c>
      <c r="AF111">
        <v>1.42</v>
      </c>
      <c r="AG111" s="10">
        <f>AV111+AW111+AX111+AY111+AZ111</f>
        <v>0.36452888385966437</v>
      </c>
      <c r="AH111" t="s">
        <v>41</v>
      </c>
      <c r="AI111" s="9">
        <f>(G111-MIN($G$2:$G$126))/(MAX($G$2:$G$126)-MIN($G$2:$G$126))</f>
        <v>0.33333333333333331</v>
      </c>
      <c r="AJ111" s="9">
        <f>(N111-MIN($N$2:$N$126))/(MAX($N$2:$N$126)-MIN($N$2:$N$126))</f>
        <v>4.6996759870984017E-3</v>
      </c>
      <c r="AK111" s="9">
        <f>(O111-MIN($O$2:$O$126))/(MAX($O$2:$O$126)-MIN($O$2:$O$126))</f>
        <v>0.18071115440818314</v>
      </c>
      <c r="AL111" s="9">
        <f>(S111-MIN($S$2:$S$126))/(MAX($S$2:$S$126)-MIN($S$2:$S$126))</f>
        <v>0.76117318435754178</v>
      </c>
      <c r="AM111" s="9">
        <f>(T111-MIN($T$2:$T$126))/(MAX($T$2:$T$126)-MIN($T$2:$T$126))</f>
        <v>0.61515195160593406</v>
      </c>
      <c r="AN111" s="9">
        <f>1-(AC111-MIN($AC$2:$AC$126))/(MAX($AC$2:$AC$126)-MIN($AC$2:$AC$126))</f>
        <v>0.67528505804012862</v>
      </c>
      <c r="AO111" s="9">
        <f>(AD111-MIN($AD$2:$AD$126))/(MAX($AD$2:$AD$126)-MIN($AD$2:$AD$126))</f>
        <v>0</v>
      </c>
      <c r="AP111" s="9">
        <f>1-(AE111-MIN($AE$2:$AE$126))/(MAX($AE$2:$AE$126)-MIN($AE$2:$AE$126))</f>
        <v>0.21739999999999993</v>
      </c>
      <c r="AQ111" s="9">
        <f>(V111-MIN($V$2:$V$126))/(MAX($V$2:$V$126)-MIN($V$2:$V$126))</f>
        <v>0.33333333333333331</v>
      </c>
      <c r="AR111" s="9">
        <f>1-(Y111-MIN($Y$2:$Y$126))/(MAX($Y$2:$Y$126)-MIN($Y$2:$Y$126))</f>
        <v>0.98958333333333337</v>
      </c>
      <c r="AS111" s="9">
        <f>1-(AA111-MIN($AA$2:$AA$126))/(MAX($AA$2:$AA$126)-MIN($AA$2:$AA$126))</f>
        <v>0.62806424344885881</v>
      </c>
      <c r="AT111" s="9">
        <f>(K111-MIN($K$2:$K$126))/(MAX($K$2:$K$126)-MIN($K$2:$K$126))</f>
        <v>0.51515151515151503</v>
      </c>
      <c r="AU111" s="9">
        <f>(L111-MIN($L$2:$L$126))/(MAX($L$2:$L$126)-MIN($L$2:$L$126))</f>
        <v>9.5680699835975942E-3</v>
      </c>
      <c r="AV111" s="8">
        <f>(AI111*(Tablero!$B$5/100)+AJ111*(Tablero!$B$6/100))*(Tablero!$B$4/100)</f>
        <v>5.0469967598709836E-2</v>
      </c>
      <c r="AW111" s="8">
        <f>(AK111*(Tablero!$B$8/100))*(Tablero!$B$7/100)</f>
        <v>4.5177788602045785E-2</v>
      </c>
      <c r="AX111" s="8">
        <f>(AL111*(Tablero!$B$10/100)+AM111*(Tablero!$B$11/100)+AN111*(Tablero!$B$12/100)+AO111*(Tablero!$B$13/100)+AP111*(Tablero!$B$14/100))*(Tablero!$B$9/100)</f>
        <v>8.3030281944309448E-2</v>
      </c>
      <c r="AY111" s="8">
        <f>(AQ111*(Tablero!$B$16/100)+AR111*(Tablero!$B$17/100)+AS111*(Tablero!$B$18/100))*(Tablero!$B$15/100)</f>
        <v>0.17273285608622149</v>
      </c>
      <c r="AZ111" s="8">
        <f>(AT111*(Tablero!$B$20/100)+AU111*(Tablero!$B$21/100))*(Tablero!$B$19/100)</f>
        <v>1.3117989628377817E-2</v>
      </c>
    </row>
    <row r="112" spans="2:52" hidden="1" x14ac:dyDescent="0.4">
      <c r="B112" t="s">
        <v>261</v>
      </c>
      <c r="C112" t="s">
        <v>262</v>
      </c>
      <c r="D112" s="3">
        <v>49870</v>
      </c>
      <c r="E112" s="3">
        <v>411</v>
      </c>
      <c r="F112">
        <v>152</v>
      </c>
      <c r="G112">
        <v>23.3</v>
      </c>
      <c r="H112">
        <v>51.7</v>
      </c>
      <c r="I112">
        <v>63</v>
      </c>
      <c r="J112">
        <v>97</v>
      </c>
      <c r="K112">
        <v>0.24</v>
      </c>
      <c r="L112">
        <v>188</v>
      </c>
      <c r="M112">
        <v>2</v>
      </c>
      <c r="N112">
        <v>674.95511536999982</v>
      </c>
      <c r="O112" s="3">
        <v>7.26</v>
      </c>
      <c r="P112">
        <v>93</v>
      </c>
      <c r="Q112">
        <v>71.547445255474457</v>
      </c>
      <c r="R112">
        <v>50.61</v>
      </c>
      <c r="S112">
        <v>17.52</v>
      </c>
      <c r="T112">
        <v>55.96</v>
      </c>
      <c r="U112">
        <v>60.58</v>
      </c>
      <c r="V112" s="3">
        <v>55</v>
      </c>
      <c r="W112">
        <v>13</v>
      </c>
      <c r="X112">
        <v>9</v>
      </c>
      <c r="Y112">
        <v>4</v>
      </c>
      <c r="Z112">
        <v>0</v>
      </c>
      <c r="AA112" s="3">
        <v>26.1</v>
      </c>
      <c r="AB112">
        <v>96</v>
      </c>
      <c r="AC112">
        <v>91536.86</v>
      </c>
      <c r="AD112">
        <v>0.19</v>
      </c>
      <c r="AE112">
        <v>41.67</v>
      </c>
      <c r="AF112">
        <v>1.98</v>
      </c>
      <c r="AG112" s="10">
        <f>AV112+AW112+AX112+AY112+AZ112</f>
        <v>0.40848652147793785</v>
      </c>
      <c r="AH112" t="s">
        <v>41</v>
      </c>
      <c r="AI112" s="9">
        <f>(G112-MIN($G$2:$G$126))/(MAX($G$2:$G$126)-MIN($G$2:$G$126))</f>
        <v>0.39436619718309862</v>
      </c>
      <c r="AJ112" s="9">
        <f>(N112-MIN($N$2:$N$126))/(MAX($N$2:$N$126)-MIN($N$2:$N$126))</f>
        <v>1.4235656553034088E-2</v>
      </c>
      <c r="AK112" s="9">
        <f>(O112-MIN($O$2:$O$126))/(MAX($O$2:$O$126)-MIN($O$2:$O$126))</f>
        <v>0.35362883584997562</v>
      </c>
      <c r="AL112" s="9">
        <f>(S112-MIN($S$2:$S$126))/(MAX($S$2:$S$126)-MIN($S$2:$S$126))</f>
        <v>0.16270949720670391</v>
      </c>
      <c r="AM112" s="9">
        <f>(T112-MIN($T$2:$T$126))/(MAX($T$2:$T$126)-MIN($T$2:$T$126))</f>
        <v>0.52902203658360947</v>
      </c>
      <c r="AN112" s="9">
        <f>1-(AC112-MIN($AC$2:$AC$126))/(MAX($AC$2:$AC$126)-MIN($AC$2:$AC$126))</f>
        <v>0.22478816040440208</v>
      </c>
      <c r="AO112" s="9">
        <f>(AD112-MIN($AD$2:$AD$126))/(MAX($AD$2:$AD$126)-MIN($AD$2:$AD$126))</f>
        <v>0.11377245508982037</v>
      </c>
      <c r="AP112" s="9">
        <f>1-(AE112-MIN($AE$2:$AE$126))/(MAX($AE$2:$AE$126)-MIN($AE$2:$AE$126))</f>
        <v>0.58329999999999993</v>
      </c>
      <c r="AQ112" s="9">
        <f>(V112-MIN($V$2:$V$126))/(MAX($V$2:$V$126)-MIN($V$2:$V$126))</f>
        <v>0.15277777777777779</v>
      </c>
      <c r="AR112" s="9">
        <f>1-(Y112-MIN($Y$2:$Y$126))/(MAX($Y$2:$Y$126)-MIN($Y$2:$Y$126))</f>
        <v>0.95833333333333337</v>
      </c>
      <c r="AS112" s="9">
        <f>1-(AA112-MIN($AA$2:$AA$126))/(MAX($AA$2:$AA$126)-MIN($AA$2:$AA$126))</f>
        <v>0.83939137785291629</v>
      </c>
      <c r="AT112" s="9">
        <f>(K112-MIN($K$2:$K$126))/(MAX($K$2:$K$126)-MIN($K$2:$K$126))</f>
        <v>0.57575757575757569</v>
      </c>
      <c r="AU112" s="9">
        <f>(L112-MIN($L$2:$L$126))/(MAX($L$2:$L$126)-MIN($L$2:$L$126))</f>
        <v>2.4876981957353744E-2</v>
      </c>
      <c r="AV112" s="8">
        <f>(AI112*(Tablero!$B$5/100)+AJ112*(Tablero!$B$6/100))*(Tablero!$B$4/100)</f>
        <v>6.0578495232768204E-2</v>
      </c>
      <c r="AW112" s="8">
        <f>(AK112*(Tablero!$B$8/100))*(Tablero!$B$7/100)</f>
        <v>8.8407208962493905E-2</v>
      </c>
      <c r="AX112" s="8">
        <f>(AL112*(Tablero!$B$10/100)+AM112*(Tablero!$B$11/100)+AN112*(Tablero!$B$12/100)+AO112*(Tablero!$B$13/100)+AP112*(Tablero!$B$14/100))*(Tablero!$B$9/100)</f>
        <v>8.8430724449035103E-2</v>
      </c>
      <c r="AY112" s="8">
        <f>(AQ112*(Tablero!$B$16/100)+AR112*(Tablero!$B$17/100)+AS112*(Tablero!$B$18/100))*(Tablero!$B$15/100)</f>
        <v>0.15605422889076737</v>
      </c>
      <c r="AZ112" s="8">
        <f>(AT112*(Tablero!$B$20/100)+AU112*(Tablero!$B$21/100))*(Tablero!$B$19/100)</f>
        <v>1.5015863942873237E-2</v>
      </c>
    </row>
    <row r="113" spans="2:52" hidden="1" x14ac:dyDescent="0.4">
      <c r="B113" t="s">
        <v>263</v>
      </c>
      <c r="C113" s="4" t="s">
        <v>264</v>
      </c>
      <c r="D113" s="3">
        <v>813144</v>
      </c>
      <c r="E113" s="3">
        <v>3018</v>
      </c>
      <c r="F113">
        <v>1229</v>
      </c>
      <c r="G113">
        <v>10.9</v>
      </c>
      <c r="H113">
        <v>26.7</v>
      </c>
      <c r="I113">
        <v>59.3</v>
      </c>
      <c r="J113">
        <v>653</v>
      </c>
      <c r="K113">
        <v>0.22</v>
      </c>
      <c r="L113">
        <v>1358</v>
      </c>
      <c r="M113">
        <v>29</v>
      </c>
      <c r="N113">
        <v>12579.99478297</v>
      </c>
      <c r="O113" s="3">
        <v>11.25</v>
      </c>
      <c r="P113">
        <v>1118</v>
      </c>
      <c r="Q113">
        <v>66.013585155732272</v>
      </c>
      <c r="R113">
        <v>47.75</v>
      </c>
      <c r="S113">
        <v>20.48</v>
      </c>
      <c r="T113">
        <v>31.25</v>
      </c>
      <c r="U113">
        <v>43.64</v>
      </c>
      <c r="V113" s="3">
        <v>25</v>
      </c>
      <c r="W113">
        <v>72</v>
      </c>
      <c r="X113">
        <v>61</v>
      </c>
      <c r="Y113">
        <v>9</v>
      </c>
      <c r="Z113">
        <v>2</v>
      </c>
      <c r="AA113" s="3">
        <v>8.9</v>
      </c>
      <c r="AB113">
        <v>885</v>
      </c>
      <c r="AC113">
        <v>66115.740000000005</v>
      </c>
      <c r="AD113">
        <v>0.08</v>
      </c>
      <c r="AE113">
        <v>59.89</v>
      </c>
      <c r="AF113">
        <v>1.91</v>
      </c>
      <c r="AG113" s="10">
        <f>AV113+AW113+AX113+AY113+AZ113</f>
        <v>0.39910346137302272</v>
      </c>
      <c r="AH113" t="s">
        <v>41</v>
      </c>
      <c r="AI113" s="9">
        <f>(G113-MIN($G$2:$G$126))/(MAX($G$2:$G$126)-MIN($G$2:$G$126))</f>
        <v>0.10328638497652583</v>
      </c>
      <c r="AJ113" s="9">
        <f>(N113-MIN($N$2:$N$126))/(MAX($N$2:$N$126)-MIN($N$2:$N$126))</f>
        <v>0.2653279915822998</v>
      </c>
      <c r="AK113" s="9">
        <f>(O113-MIN($O$2:$O$126))/(MAX($O$2:$O$126)-MIN($O$2:$O$126))</f>
        <v>0.54797856794934241</v>
      </c>
      <c r="AL113" s="9">
        <f>(S113-MIN($S$2:$S$126))/(MAX($S$2:$S$126)-MIN($S$2:$S$126))</f>
        <v>0.23161080074487897</v>
      </c>
      <c r="AM113" s="9">
        <f>(T113-MIN($T$2:$T$126))/(MAX($T$2:$T$126)-MIN($T$2:$T$126))</f>
        <v>0.17312400979403716</v>
      </c>
      <c r="AN113" s="9">
        <f>1-(AC113-MIN($AC$2:$AC$126))/(MAX($AC$2:$AC$126)-MIN($AC$2:$AC$126))</f>
        <v>0.48366088149304509</v>
      </c>
      <c r="AO113" s="9">
        <f>(AD113-MIN($AD$2:$AD$126))/(MAX($AD$2:$AD$126)-MIN($AD$2:$AD$126))</f>
        <v>4.790419161676647E-2</v>
      </c>
      <c r="AP113" s="9">
        <f>1-(AE113-MIN($AE$2:$AE$126))/(MAX($AE$2:$AE$126)-MIN($AE$2:$AE$126))</f>
        <v>0.40110000000000001</v>
      </c>
      <c r="AQ113" s="9">
        <f>(V113-MIN($V$2:$V$126))/(MAX($V$2:$V$126)-MIN($V$2:$V$126))</f>
        <v>6.9444444444444448E-2</v>
      </c>
      <c r="AR113" s="9">
        <f>1-(Y113-MIN($Y$2:$Y$126))/(MAX($Y$2:$Y$126)-MIN($Y$2:$Y$126))</f>
        <v>0.90625</v>
      </c>
      <c r="AS113" s="9">
        <f>1-(AA113-MIN($AA$2:$AA$126))/(MAX($AA$2:$AA$126)-MIN($AA$2:$AA$126))</f>
        <v>0.98478444632290785</v>
      </c>
      <c r="AT113" s="9">
        <f>(K113-MIN($K$2:$K$126))/(MAX($K$2:$K$126)-MIN($K$2:$K$126))</f>
        <v>0.51515151515151503</v>
      </c>
      <c r="AU113" s="9">
        <f>(L113-MIN($L$2:$L$126))/(MAX($L$2:$L$126)-MIN($L$2:$L$126))</f>
        <v>0.18480043739748497</v>
      </c>
      <c r="AV113" s="8">
        <f>(AI113*(Tablero!$B$5/100)+AJ113*(Tablero!$B$6/100))*(Tablero!$B$4/100)</f>
        <v>4.2025756904708854E-2</v>
      </c>
      <c r="AW113" s="8">
        <f>(AK113*(Tablero!$B$8/100))*(Tablero!$B$7/100)</f>
        <v>0.1369946419873356</v>
      </c>
      <c r="AX113" s="8">
        <f>(AL113*(Tablero!$B$10/100)+AM113*(Tablero!$B$11/100)+AN113*(Tablero!$B$12/100)+AO113*(Tablero!$B$13/100)+AP113*(Tablero!$B$14/100))*(Tablero!$B$9/100)</f>
        <v>5.773895806473605E-2</v>
      </c>
      <c r="AY113" s="8">
        <f>(AQ113*(Tablero!$B$16/100)+AR113*(Tablero!$B$17/100)+AS113*(Tablero!$B$18/100))*(Tablero!$B$15/100)</f>
        <v>0.14484530560251715</v>
      </c>
      <c r="AZ113" s="8">
        <f>(AT113*(Tablero!$B$20/100)+AU113*(Tablero!$B$21/100))*(Tablero!$B$19/100)</f>
        <v>1.7498798813725E-2</v>
      </c>
    </row>
    <row r="114" spans="2:52" x14ac:dyDescent="0.4">
      <c r="B114" t="s">
        <v>253</v>
      </c>
      <c r="C114" t="s">
        <v>254</v>
      </c>
      <c r="D114" s="3">
        <v>35945</v>
      </c>
      <c r="E114" s="3">
        <v>160</v>
      </c>
      <c r="F114">
        <v>73</v>
      </c>
      <c r="G114">
        <v>13.6</v>
      </c>
      <c r="H114">
        <v>37.200000000000003</v>
      </c>
      <c r="I114">
        <v>54.4</v>
      </c>
      <c r="J114">
        <v>37</v>
      </c>
      <c r="K114">
        <v>0.23</v>
      </c>
      <c r="L114">
        <v>95</v>
      </c>
      <c r="M114">
        <v>1</v>
      </c>
      <c r="N114">
        <v>432.12226106999992</v>
      </c>
      <c r="O114" s="3">
        <v>9.39</v>
      </c>
      <c r="P114">
        <v>46</v>
      </c>
      <c r="Q114">
        <v>67.962500000000006</v>
      </c>
      <c r="R114">
        <v>45.62</v>
      </c>
      <c r="S114">
        <v>19.38</v>
      </c>
      <c r="T114">
        <v>28.75</v>
      </c>
      <c r="U114">
        <v>41.25</v>
      </c>
      <c r="V114" s="3">
        <v>25</v>
      </c>
      <c r="W114">
        <v>4</v>
      </c>
      <c r="X114">
        <v>4</v>
      </c>
      <c r="Y114">
        <v>0</v>
      </c>
      <c r="Z114">
        <v>0</v>
      </c>
      <c r="AA114" s="3">
        <v>11.1</v>
      </c>
      <c r="AB114">
        <v>4</v>
      </c>
      <c r="AC114">
        <v>52223.92</v>
      </c>
      <c r="AD114">
        <v>0</v>
      </c>
      <c r="AE114">
        <v>100</v>
      </c>
      <c r="AF114">
        <v>0.36</v>
      </c>
      <c r="AG114" s="10">
        <f>AV114+AW114+AX114+AY114+AZ114</f>
        <v>0.33514552111772056</v>
      </c>
      <c r="AH114" t="s">
        <v>41</v>
      </c>
      <c r="AI114" s="9">
        <f>(G114-MIN($G$2:$G$126))/(MAX($G$2:$G$126)-MIN($G$2:$G$126))</f>
        <v>0.16666666666666666</v>
      </c>
      <c r="AJ114" s="9">
        <f>(N114-MIN($N$2:$N$126))/(MAX($N$2:$N$126)-MIN($N$2:$N$126))</f>
        <v>9.1140047055438215E-3</v>
      </c>
      <c r="AK114" s="9">
        <f>(O114-MIN($O$2:$O$126))/(MAX($O$2:$O$126)-MIN($O$2:$O$126))</f>
        <v>0.45737944471505115</v>
      </c>
      <c r="AL114" s="9">
        <f>(S114-MIN($S$2:$S$126))/(MAX($S$2:$S$126)-MIN($S$2:$S$126))</f>
        <v>0.20600558659217877</v>
      </c>
      <c r="AM114" s="9">
        <f>(T114-MIN($T$2:$T$126))/(MAX($T$2:$T$126)-MIN($T$2:$T$126))</f>
        <v>0.13711652023620913</v>
      </c>
      <c r="AN114" s="9">
        <f>1-(AC114-MIN($AC$2:$AC$126))/(MAX($AC$2:$AC$126)-MIN($AC$2:$AC$126))</f>
        <v>0.62512645202155204</v>
      </c>
      <c r="AO114" s="9">
        <f>(AD114-MIN($AD$2:$AD$126))/(MAX($AD$2:$AD$126)-MIN($AD$2:$AD$126))</f>
        <v>0</v>
      </c>
      <c r="AP114" s="9">
        <f>1-(AE114-MIN($AE$2:$AE$126))/(MAX($AE$2:$AE$126)-MIN($AE$2:$AE$126))</f>
        <v>0</v>
      </c>
      <c r="AQ114" s="9">
        <f>(V114-MIN($V$2:$V$126))/(MAX($V$2:$V$126)-MIN($V$2:$V$126))</f>
        <v>6.9444444444444448E-2</v>
      </c>
      <c r="AR114" s="9">
        <f>1-(Y114-MIN($Y$2:$Y$126))/(MAX($Y$2:$Y$126)-MIN($Y$2:$Y$126))</f>
        <v>1</v>
      </c>
      <c r="AS114" s="9">
        <f>1-(AA114-MIN($AA$2:$AA$126))/(MAX($AA$2:$AA$126)-MIN($AA$2:$AA$126))</f>
        <v>0.96618765849535082</v>
      </c>
      <c r="AT114" s="9">
        <f>(K114-MIN($K$2:$K$126))/(MAX($K$2:$K$126)-MIN($K$2:$K$126))</f>
        <v>0.54545454545454541</v>
      </c>
      <c r="AU114" s="9">
        <f>(L114-MIN($L$2:$L$126))/(MAX($L$2:$L$126)-MIN($L$2:$L$126))</f>
        <v>1.2165117550574084E-2</v>
      </c>
      <c r="AV114" s="8">
        <f>(AI114*(Tablero!$B$5/100)+AJ114*(Tablero!$B$6/100))*(Tablero!$B$4/100)</f>
        <v>2.5911400470554381E-2</v>
      </c>
      <c r="AW114" s="8">
        <f>(AK114*(Tablero!$B$8/100))*(Tablero!$B$7/100)</f>
        <v>0.11434486117876279</v>
      </c>
      <c r="AX114" s="8">
        <f>(AL114*(Tablero!$B$10/100)+AM114*(Tablero!$B$11/100)+AN114*(Tablero!$B$12/100)+AO114*(Tablero!$B$13/100)+AP114*(Tablero!$B$14/100))*(Tablero!$B$9/100)</f>
        <v>2.4849631986447164E-2</v>
      </c>
      <c r="AY114" s="8">
        <f>(AQ114*(Tablero!$B$16/100)+AR114*(Tablero!$B$17/100)+AS114*(Tablero!$B$18/100))*(Tablero!$B$15/100)</f>
        <v>0.15609913590682822</v>
      </c>
      <c r="AZ114" s="8">
        <f>(AT114*(Tablero!$B$20/100)+AU114*(Tablero!$B$21/100))*(Tablero!$B$19/100)</f>
        <v>1.3940491575127986E-2</v>
      </c>
    </row>
    <row r="115" spans="2:52" hidden="1" x14ac:dyDescent="0.4">
      <c r="B115" t="s">
        <v>267</v>
      </c>
      <c r="C115" t="s">
        <v>268</v>
      </c>
      <c r="D115" s="3">
        <v>725799</v>
      </c>
      <c r="E115" s="3">
        <v>4630</v>
      </c>
      <c r="F115">
        <v>1671</v>
      </c>
      <c r="G115">
        <v>18</v>
      </c>
      <c r="H115">
        <v>39.1</v>
      </c>
      <c r="I115">
        <v>63.9</v>
      </c>
      <c r="J115">
        <v>984</v>
      </c>
      <c r="K115">
        <v>0.21</v>
      </c>
      <c r="L115">
        <v>2170</v>
      </c>
      <c r="M115">
        <v>22</v>
      </c>
      <c r="N115">
        <v>9065.0635133599972</v>
      </c>
      <c r="O115" s="3">
        <v>8.58</v>
      </c>
      <c r="P115">
        <v>1057</v>
      </c>
      <c r="Q115">
        <v>68.342406567293153</v>
      </c>
      <c r="R115">
        <v>49.42</v>
      </c>
      <c r="S115">
        <v>24.79</v>
      </c>
      <c r="T115">
        <v>27.19</v>
      </c>
      <c r="U115">
        <v>41.6</v>
      </c>
      <c r="V115" s="3">
        <v>10</v>
      </c>
      <c r="W115">
        <v>87</v>
      </c>
      <c r="X115">
        <v>78</v>
      </c>
      <c r="Y115">
        <v>9</v>
      </c>
      <c r="Z115">
        <v>0</v>
      </c>
      <c r="AA115" s="3">
        <v>12</v>
      </c>
      <c r="AB115">
        <v>948</v>
      </c>
      <c r="AC115">
        <v>64834</v>
      </c>
      <c r="AD115">
        <v>0.06</v>
      </c>
      <c r="AE115">
        <v>63.19</v>
      </c>
      <c r="AF115">
        <v>2.44</v>
      </c>
      <c r="AG115" s="10">
        <f t="shared" ref="AG67:AG126" si="1">AV115+AW115+AX115+AY115+AZ115</f>
        <v>0.37725149140121966</v>
      </c>
      <c r="AH115" t="s">
        <v>41</v>
      </c>
      <c r="AI115" s="9">
        <f>(G115-MIN($G$2:$G$126))/(MAX($G$2:$G$126)-MIN($G$2:$G$126))</f>
        <v>0.2699530516431925</v>
      </c>
      <c r="AJ115" s="9">
        <f>(N115-MIN($N$2:$N$126))/(MAX($N$2:$N$126)-MIN($N$2:$N$126))</f>
        <v>0.19119364809449862</v>
      </c>
      <c r="AK115" s="9">
        <f>(O115-MIN($O$2:$O$126))/(MAX($O$2:$O$126)-MIN($O$2:$O$126))</f>
        <v>0.41792498782269849</v>
      </c>
      <c r="AL115" s="9">
        <f>(S115-MIN($S$2:$S$126))/(MAX($S$2:$S$126)-MIN($S$2:$S$126))</f>
        <v>0.33193668528864056</v>
      </c>
      <c r="AM115" s="9">
        <f>(T115-MIN($T$2:$T$126))/(MAX($T$2:$T$126)-MIN($T$2:$T$126))</f>
        <v>0.11464784675212447</v>
      </c>
      <c r="AN115" s="9">
        <f>1-(AC115-MIN($AC$2:$AC$126))/(MAX($AC$2:$AC$126)-MIN($AC$2:$AC$126))</f>
        <v>0.49671331669370344</v>
      </c>
      <c r="AO115" s="9">
        <f>(AD115-MIN($AD$2:$AD$126))/(MAX($AD$2:$AD$126)-MIN($AD$2:$AD$126))</f>
        <v>3.5928143712574849E-2</v>
      </c>
      <c r="AP115" s="9">
        <f>1-(AE115-MIN($AE$2:$AE$126))/(MAX($AE$2:$AE$126)-MIN($AE$2:$AE$126))</f>
        <v>0.36809999999999998</v>
      </c>
      <c r="AQ115" s="9">
        <f>(V115-MIN($V$2:$V$126))/(MAX($V$2:$V$126)-MIN($V$2:$V$126))</f>
        <v>2.7777777777777776E-2</v>
      </c>
      <c r="AR115" s="9">
        <f>1-(Y115-MIN($Y$2:$Y$126))/(MAX($Y$2:$Y$126)-MIN($Y$2:$Y$126))</f>
        <v>0.90625</v>
      </c>
      <c r="AS115" s="9">
        <f>1-(AA115-MIN($AA$2:$AA$126))/(MAX($AA$2:$AA$126)-MIN($AA$2:$AA$126))</f>
        <v>0.95857988165680474</v>
      </c>
      <c r="AT115" s="9">
        <f>(K115-MIN($K$2:$K$126))/(MAX($K$2:$K$126)-MIN($K$2:$K$126))</f>
        <v>0.48484848484848475</v>
      </c>
      <c r="AU115" s="9">
        <f>(L115-MIN($L$2:$L$126))/(MAX($L$2:$L$126)-MIN($L$2:$L$126))</f>
        <v>0.29579004920721708</v>
      </c>
      <c r="AV115" s="8">
        <f>(AI115*(Tablero!$B$5/100)+AJ115*(Tablero!$B$6/100))*(Tablero!$B$4/100)</f>
        <v>5.9612322555928743E-2</v>
      </c>
      <c r="AW115" s="8">
        <f>(AK115*(Tablero!$B$8/100))*(Tablero!$B$7/100)</f>
        <v>0.10448124695567462</v>
      </c>
      <c r="AX115" s="8">
        <f>(AL115*(Tablero!$B$10/100)+AM115*(Tablero!$B$11/100)+AN115*(Tablero!$B$12/100)+AO115*(Tablero!$B$13/100)+AP115*(Tablero!$B$14/100))*(Tablero!$B$9/100)</f>
        <v>5.3618433719025853E-2</v>
      </c>
      <c r="AY115" s="8">
        <f>(AQ115*(Tablero!$B$16/100)+AR115*(Tablero!$B$17/100)+AS115*(Tablero!$B$18/100))*(Tablero!$B$15/100)</f>
        <v>0.14002352481919789</v>
      </c>
      <c r="AZ115" s="8">
        <f>(AT115*(Tablero!$B$20/100)+AU115*(Tablero!$B$21/100))*(Tablero!$B$19/100)</f>
        <v>1.9515963351392548E-2</v>
      </c>
    </row>
    <row r="116" spans="2:52" hidden="1" x14ac:dyDescent="0.4">
      <c r="B116" t="s">
        <v>269</v>
      </c>
      <c r="C116" t="s">
        <v>270</v>
      </c>
      <c r="D116" s="3">
        <v>46740</v>
      </c>
      <c r="E116" s="3">
        <v>344</v>
      </c>
      <c r="F116">
        <v>123</v>
      </c>
      <c r="G116">
        <v>20.8</v>
      </c>
      <c r="H116">
        <v>44.7</v>
      </c>
      <c r="I116">
        <v>64.2</v>
      </c>
      <c r="J116">
        <v>72</v>
      </c>
      <c r="K116">
        <v>0.21</v>
      </c>
      <c r="L116">
        <v>136</v>
      </c>
      <c r="M116">
        <v>1</v>
      </c>
      <c r="N116">
        <v>345.94731102999992</v>
      </c>
      <c r="O116" s="3">
        <v>5.58</v>
      </c>
      <c r="P116">
        <v>62</v>
      </c>
      <c r="Q116">
        <v>70.363372093023258</v>
      </c>
      <c r="R116">
        <v>47.38</v>
      </c>
      <c r="S116">
        <v>28.2</v>
      </c>
      <c r="T116">
        <v>42.44</v>
      </c>
      <c r="U116">
        <v>49.71</v>
      </c>
      <c r="V116" s="3">
        <v>65</v>
      </c>
      <c r="W116">
        <v>11</v>
      </c>
      <c r="X116">
        <v>10</v>
      </c>
      <c r="Y116">
        <v>1</v>
      </c>
      <c r="Z116">
        <v>0</v>
      </c>
      <c r="AA116" s="3">
        <v>23.5</v>
      </c>
      <c r="AB116">
        <v>18</v>
      </c>
      <c r="AC116">
        <v>62609.74</v>
      </c>
      <c r="AD116">
        <v>0.61</v>
      </c>
      <c r="AE116">
        <v>33.33</v>
      </c>
      <c r="AF116">
        <v>5.39</v>
      </c>
      <c r="AG116" s="10">
        <f t="shared" si="1"/>
        <v>0.39419678673085029</v>
      </c>
      <c r="AH116" t="s">
        <v>41</v>
      </c>
      <c r="AI116" s="9">
        <f>(G116-MIN($G$2:$G$126))/(MAX($G$2:$G$126)-MIN($G$2:$G$126))</f>
        <v>0.33568075117370894</v>
      </c>
      <c r="AJ116" s="9">
        <f>(N116-MIN($N$2:$N$126))/(MAX($N$2:$N$126)-MIN($N$2:$N$126))</f>
        <v>7.2964660806653031E-3</v>
      </c>
      <c r="AK116" s="9">
        <f>(O116-MIN($O$2:$O$126))/(MAX($O$2:$O$126)-MIN($O$2:$O$126))</f>
        <v>0.27179736970287383</v>
      </c>
      <c r="AL116" s="9">
        <f>(S116-MIN($S$2:$S$126))/(MAX($S$2:$S$126)-MIN($S$2:$S$126))</f>
        <v>0.41131284916201122</v>
      </c>
      <c r="AM116" s="9">
        <f>(T116-MIN($T$2:$T$126))/(MAX($T$2:$T$126)-MIN($T$2:$T$126))</f>
        <v>0.33429353305487541</v>
      </c>
      <c r="AN116" s="9">
        <f>1-(AC116-MIN($AC$2:$AC$126))/(MAX($AC$2:$AC$126)-MIN($AC$2:$AC$126))</f>
        <v>0.51936378365222557</v>
      </c>
      <c r="AO116" s="9">
        <f>(AD116-MIN($AD$2:$AD$126))/(MAX($AD$2:$AD$126)-MIN($AD$2:$AD$126))</f>
        <v>0.3652694610778443</v>
      </c>
      <c r="AP116" s="9">
        <f>1-(AE116-MIN($AE$2:$AE$126))/(MAX($AE$2:$AE$126)-MIN($AE$2:$AE$126))</f>
        <v>0.66670000000000007</v>
      </c>
      <c r="AQ116" s="9">
        <f>(V116-MIN($V$2:$V$126))/(MAX($V$2:$V$126)-MIN($V$2:$V$126))</f>
        <v>0.18055555555555555</v>
      </c>
      <c r="AR116" s="9">
        <f>1-(Y116-MIN($Y$2:$Y$126))/(MAX($Y$2:$Y$126)-MIN($Y$2:$Y$126))</f>
        <v>0.98958333333333337</v>
      </c>
      <c r="AS116" s="9">
        <f>1-(AA116-MIN($AA$2:$AA$126))/(MAX($AA$2:$AA$126)-MIN($AA$2:$AA$126))</f>
        <v>0.8613693998309383</v>
      </c>
      <c r="AT116" s="9">
        <f>(K116-MIN($K$2:$K$126))/(MAX($K$2:$K$126)-MIN($K$2:$K$126))</f>
        <v>0.48484848484848475</v>
      </c>
      <c r="AU116" s="9">
        <f>(L116-MIN($L$2:$L$126))/(MAX($L$2:$L$126)-MIN($L$2:$L$126))</f>
        <v>1.7769272826681247E-2</v>
      </c>
      <c r="AV116" s="8">
        <f>(AI116*(Tablero!$B$5/100)+AJ116*(Tablero!$B$6/100))*(Tablero!$B$4/100)</f>
        <v>5.1081759284122868E-2</v>
      </c>
      <c r="AW116" s="8">
        <f>(AK116*(Tablero!$B$8/100))*(Tablero!$B$7/100)</f>
        <v>6.7949342425718456E-2</v>
      </c>
      <c r="AX116" s="8">
        <f>(AL116*(Tablero!$B$10/100)+AM116*(Tablero!$B$11/100)+AN116*(Tablero!$B$12/100)+AO116*(Tablero!$B$13/100)+AP116*(Tablero!$B$14/100))*(Tablero!$B$9/100)</f>
        <v>9.9312533861134145E-2</v>
      </c>
      <c r="AY116" s="8">
        <f>(AQ116*(Tablero!$B$16/100)+AR116*(Tablero!$B$17/100)+AS116*(Tablero!$B$18/100))*(Tablero!$B$15/100)</f>
        <v>0.16328770721799568</v>
      </c>
      <c r="AZ116" s="8">
        <f>(AT116*(Tablero!$B$20/100)+AU116*(Tablero!$B$21/100))*(Tablero!$B$19/100)</f>
        <v>1.2565443941879152E-2</v>
      </c>
    </row>
    <row r="117" spans="2:52" hidden="1" x14ac:dyDescent="0.4">
      <c r="B117" t="s">
        <v>271</v>
      </c>
      <c r="C117" t="s">
        <v>272</v>
      </c>
      <c r="D117" s="3">
        <v>604157</v>
      </c>
      <c r="E117" s="3">
        <v>3530</v>
      </c>
      <c r="F117">
        <v>1352</v>
      </c>
      <c r="G117">
        <v>16.600000000000001</v>
      </c>
      <c r="H117">
        <v>38.1</v>
      </c>
      <c r="I117">
        <v>61.7</v>
      </c>
      <c r="J117">
        <v>810</v>
      </c>
      <c r="K117">
        <v>0.23</v>
      </c>
      <c r="L117">
        <v>1705</v>
      </c>
      <c r="M117">
        <v>22</v>
      </c>
      <c r="N117">
        <v>7360.3518311599983</v>
      </c>
      <c r="O117" s="3">
        <v>8.89</v>
      </c>
      <c r="P117">
        <v>828</v>
      </c>
      <c r="Q117">
        <v>67.490934844192637</v>
      </c>
      <c r="R117">
        <v>47.03</v>
      </c>
      <c r="S117">
        <v>22.35</v>
      </c>
      <c r="T117">
        <v>30.76</v>
      </c>
      <c r="U117">
        <v>42.52</v>
      </c>
      <c r="V117" s="3">
        <v>12</v>
      </c>
      <c r="W117">
        <v>55</v>
      </c>
      <c r="X117">
        <v>49</v>
      </c>
      <c r="Y117">
        <v>5</v>
      </c>
      <c r="Z117">
        <v>1</v>
      </c>
      <c r="AA117" s="3">
        <v>9.1</v>
      </c>
      <c r="AB117">
        <v>615</v>
      </c>
      <c r="AC117">
        <v>61939.98</v>
      </c>
      <c r="AD117">
        <v>7.0000000000000007E-2</v>
      </c>
      <c r="AE117">
        <v>69.27</v>
      </c>
      <c r="AF117">
        <v>2.62</v>
      </c>
      <c r="AG117" s="10">
        <f t="shared" si="1"/>
        <v>0.37659869044563238</v>
      </c>
      <c r="AH117" t="s">
        <v>41</v>
      </c>
      <c r="AI117" s="9">
        <f>(G117-MIN($G$2:$G$126))/(MAX($G$2:$G$126)-MIN($G$2:$G$126))</f>
        <v>0.23708920187793431</v>
      </c>
      <c r="AJ117" s="9">
        <f>(N117-MIN($N$2:$N$126))/(MAX($N$2:$N$126)-MIN($N$2:$N$126))</f>
        <v>0.15523912389411382</v>
      </c>
      <c r="AK117" s="9">
        <f>(O117-MIN($O$2:$O$126))/(MAX($O$2:$O$126)-MIN($O$2:$O$126))</f>
        <v>0.43302484169508038</v>
      </c>
      <c r="AL117" s="9">
        <f>(S117-MIN($S$2:$S$126))/(MAX($S$2:$S$126)-MIN($S$2:$S$126))</f>
        <v>0.27513966480446933</v>
      </c>
      <c r="AM117" s="9">
        <f>(T117-MIN($T$2:$T$126))/(MAX($T$2:$T$126)-MIN($T$2:$T$126))</f>
        <v>0.16606654184070291</v>
      </c>
      <c r="AN117" s="9">
        <f>1-(AC117-MIN($AC$2:$AC$126))/(MAX($AC$2:$AC$126)-MIN($AC$2:$AC$126))</f>
        <v>0.52618419886903456</v>
      </c>
      <c r="AO117" s="9">
        <f>(AD117-MIN($AD$2:$AD$126))/(MAX($AD$2:$AD$126)-MIN($AD$2:$AD$126))</f>
        <v>4.1916167664670663E-2</v>
      </c>
      <c r="AP117" s="9">
        <f>1-(AE117-MIN($AE$2:$AE$126))/(MAX($AE$2:$AE$126)-MIN($AE$2:$AE$126))</f>
        <v>0.30730000000000002</v>
      </c>
      <c r="AQ117" s="9">
        <f>(V117-MIN($V$2:$V$126))/(MAX($V$2:$V$126)-MIN($V$2:$V$126))</f>
        <v>3.3333333333333333E-2</v>
      </c>
      <c r="AR117" s="9">
        <f>1-(Y117-MIN($Y$2:$Y$126))/(MAX($Y$2:$Y$126)-MIN($Y$2:$Y$126))</f>
        <v>0.94791666666666663</v>
      </c>
      <c r="AS117" s="9">
        <f>1-(AA117-MIN($AA$2:$AA$126))/(MAX($AA$2:$AA$126)-MIN($AA$2:$AA$126))</f>
        <v>0.98309382924767541</v>
      </c>
      <c r="AT117" s="9">
        <f>(K117-MIN($K$2:$K$126))/(MAX($K$2:$K$126)-MIN($K$2:$K$126))</f>
        <v>0.54545454545454541</v>
      </c>
      <c r="AU117" s="9">
        <f>(L117-MIN($L$2:$L$126))/(MAX($L$2:$L$126)-MIN($L$2:$L$126))</f>
        <v>0.23223072717331875</v>
      </c>
      <c r="AV117" s="8">
        <f>(AI117*(Tablero!$B$5/100)+AJ117*(Tablero!$B$6/100))*(Tablero!$B$4/100)</f>
        <v>5.1087292671101528E-2</v>
      </c>
      <c r="AW117" s="8">
        <f>(AK117*(Tablero!$B$8/100))*(Tablero!$B$7/100)</f>
        <v>0.10825621042377009</v>
      </c>
      <c r="AX117" s="8">
        <f>(AL117*(Tablero!$B$10/100)+AM117*(Tablero!$B$11/100)+AN117*(Tablero!$B$12/100)+AO117*(Tablero!$B$13/100)+AP117*(Tablero!$B$14/100))*(Tablero!$B$9/100)</f>
        <v>5.1412793137205676E-2</v>
      </c>
      <c r="AY117" s="8">
        <f>(AQ117*(Tablero!$B$16/100)+AR117*(Tablero!$B$17/100)+AS117*(Tablero!$B$18/100))*(Tablero!$B$15/100)</f>
        <v>0.14640026239785853</v>
      </c>
      <c r="AZ117" s="8">
        <f>(AT117*(Tablero!$B$20/100)+AU117*(Tablero!$B$21/100))*(Tablero!$B$19/100)</f>
        <v>1.9442131815696605E-2</v>
      </c>
    </row>
    <row r="118" spans="2:52" hidden="1" x14ac:dyDescent="0.4">
      <c r="B118" t="s">
        <v>273</v>
      </c>
      <c r="C118" t="s">
        <v>274</v>
      </c>
      <c r="D118" s="3">
        <v>1578715</v>
      </c>
      <c r="E118" s="3">
        <v>8551</v>
      </c>
      <c r="F118">
        <v>2786</v>
      </c>
      <c r="G118">
        <v>15.5</v>
      </c>
      <c r="H118">
        <v>30.2</v>
      </c>
      <c r="I118">
        <v>67.400000000000006</v>
      </c>
      <c r="J118">
        <v>1662</v>
      </c>
      <c r="K118">
        <v>0.19</v>
      </c>
      <c r="L118">
        <v>4045</v>
      </c>
      <c r="M118">
        <v>45</v>
      </c>
      <c r="N118">
        <v>15424.4725911</v>
      </c>
      <c r="O118" s="3">
        <v>7.42</v>
      </c>
      <c r="P118">
        <v>2080</v>
      </c>
      <c r="Q118">
        <v>70.046198830409352</v>
      </c>
      <c r="R118">
        <v>47.19</v>
      </c>
      <c r="S118">
        <v>22.38</v>
      </c>
      <c r="T118">
        <v>29.66</v>
      </c>
      <c r="U118">
        <v>41.89</v>
      </c>
      <c r="V118" s="3">
        <v>15</v>
      </c>
      <c r="W118">
        <v>277</v>
      </c>
      <c r="X118">
        <v>234</v>
      </c>
      <c r="Y118">
        <v>35</v>
      </c>
      <c r="Z118">
        <v>8</v>
      </c>
      <c r="AA118" s="3">
        <v>17.5</v>
      </c>
      <c r="AB118">
        <v>1733</v>
      </c>
      <c r="AC118">
        <v>81719.7</v>
      </c>
      <c r="AD118">
        <v>0.06</v>
      </c>
      <c r="AE118">
        <v>72.88</v>
      </c>
      <c r="AF118">
        <v>1.62</v>
      </c>
      <c r="AG118" s="10">
        <f t="shared" si="1"/>
        <v>0.32882174630373118</v>
      </c>
      <c r="AH118" t="s">
        <v>41</v>
      </c>
      <c r="AI118" s="9">
        <f>(G118-MIN($G$2:$G$126))/(MAX($G$2:$G$126)-MIN($G$2:$G$126))</f>
        <v>0.21126760563380281</v>
      </c>
      <c r="AJ118" s="9">
        <f>(N118-MIN($N$2:$N$126))/(MAX($N$2:$N$126)-MIN($N$2:$N$126))</f>
        <v>0.32532162408787502</v>
      </c>
      <c r="AK118" s="9">
        <f>(O118-MIN($O$2:$O$126))/(MAX($O$2:$O$126)-MIN($O$2:$O$126))</f>
        <v>0.36142230881636628</v>
      </c>
      <c r="AL118" s="9">
        <f>(S118-MIN($S$2:$S$126))/(MAX($S$2:$S$126)-MIN($S$2:$S$126))</f>
        <v>0.27583798882681565</v>
      </c>
      <c r="AM118" s="9">
        <f>(T118-MIN($T$2:$T$126))/(MAX($T$2:$T$126)-MIN($T$2:$T$126))</f>
        <v>0.15022324643525856</v>
      </c>
      <c r="AN118" s="9">
        <f>1-(AC118-MIN($AC$2:$AC$126))/(MAX($AC$2:$AC$126)-MIN($AC$2:$AC$126))</f>
        <v>0.32475995246401956</v>
      </c>
      <c r="AO118" s="9">
        <f>(AD118-MIN($AD$2:$AD$126))/(MAX($AD$2:$AD$126)-MIN($AD$2:$AD$126))</f>
        <v>3.5928143712574849E-2</v>
      </c>
      <c r="AP118" s="9">
        <f>1-(AE118-MIN($AE$2:$AE$126))/(MAX($AE$2:$AE$126)-MIN($AE$2:$AE$126))</f>
        <v>0.2712</v>
      </c>
      <c r="AQ118" s="9">
        <f>(V118-MIN($V$2:$V$126))/(MAX($V$2:$V$126)-MIN($V$2:$V$126))</f>
        <v>4.1666666666666664E-2</v>
      </c>
      <c r="AR118" s="9">
        <f>1-(Y118-MIN($Y$2:$Y$126))/(MAX($Y$2:$Y$126)-MIN($Y$2:$Y$126))</f>
        <v>0.63541666666666674</v>
      </c>
      <c r="AS118" s="9">
        <f>1-(AA118-MIN($AA$2:$AA$126))/(MAX($AA$2:$AA$126)-MIN($AA$2:$AA$126))</f>
        <v>0.91208791208791207</v>
      </c>
      <c r="AT118" s="9">
        <f>(K118-MIN($K$2:$K$126))/(MAX($K$2:$K$126)-MIN($K$2:$K$126))</f>
        <v>0.42424242424242425</v>
      </c>
      <c r="AU118" s="9">
        <f>(L118-MIN($L$2:$L$126))/(MAX($L$2:$L$126)-MIN($L$2:$L$126))</f>
        <v>0.55207763805358123</v>
      </c>
      <c r="AV118" s="8">
        <f>(AI118*(Tablero!$B$5/100)+AJ118*(Tablero!$B$6/100))*(Tablero!$B$4/100)</f>
        <v>6.4222303253857915E-2</v>
      </c>
      <c r="AW118" s="8">
        <f>(AK118*(Tablero!$B$8/100))*(Tablero!$B$7/100)</f>
        <v>9.0355577204091569E-2</v>
      </c>
      <c r="AX118" s="8">
        <f>(AL118*(Tablero!$B$10/100)+AM118*(Tablero!$B$11/100)+AN118*(Tablero!$B$12/100)+AO118*(Tablero!$B$13/100)+AP118*(Tablero!$B$14/100))*(Tablero!$B$9/100)</f>
        <v>4.343991648618372E-2</v>
      </c>
      <c r="AY118" s="8">
        <f>(AQ118*(Tablero!$B$16/100)+AR118*(Tablero!$B$17/100)+AS118*(Tablero!$B$18/100))*(Tablero!$B$15/100)</f>
        <v>0.10639594780219781</v>
      </c>
      <c r="AZ118" s="8">
        <f>(AT118*(Tablero!$B$20/100)+AU118*(Tablero!$B$21/100))*(Tablero!$B$19/100)</f>
        <v>2.4408001557400139E-2</v>
      </c>
    </row>
    <row r="119" spans="2:52" hidden="1" x14ac:dyDescent="0.4">
      <c r="B119" t="s">
        <v>275</v>
      </c>
      <c r="C119" t="s">
        <v>276</v>
      </c>
      <c r="D119" s="3">
        <v>283030</v>
      </c>
      <c r="E119" s="3">
        <v>1305</v>
      </c>
      <c r="F119">
        <v>550</v>
      </c>
      <c r="G119">
        <v>14</v>
      </c>
      <c r="H119">
        <v>35.299999999999997</v>
      </c>
      <c r="I119">
        <v>57.9</v>
      </c>
      <c r="J119">
        <v>308</v>
      </c>
      <c r="K119">
        <v>0.24</v>
      </c>
      <c r="L119">
        <v>674</v>
      </c>
      <c r="M119">
        <v>6</v>
      </c>
      <c r="N119">
        <v>2840.294130199999</v>
      </c>
      <c r="O119" s="3">
        <v>9.1</v>
      </c>
      <c r="P119">
        <v>312</v>
      </c>
      <c r="Q119">
        <v>66.711877394636019</v>
      </c>
      <c r="R119">
        <v>43.91</v>
      </c>
      <c r="S119">
        <v>22.68</v>
      </c>
      <c r="T119">
        <v>28.58</v>
      </c>
      <c r="U119">
        <v>43.37</v>
      </c>
      <c r="V119" s="3">
        <v>18</v>
      </c>
      <c r="W119">
        <v>20</v>
      </c>
      <c r="X119">
        <v>17</v>
      </c>
      <c r="Y119">
        <v>3</v>
      </c>
      <c r="Z119">
        <v>0</v>
      </c>
      <c r="AA119" s="3">
        <v>7.1</v>
      </c>
      <c r="AB119">
        <v>175</v>
      </c>
      <c r="AC119">
        <v>48481.07</v>
      </c>
      <c r="AD119">
        <v>0.09</v>
      </c>
      <c r="AE119">
        <v>53.14</v>
      </c>
      <c r="AF119">
        <v>1.8</v>
      </c>
      <c r="AG119" s="10">
        <f t="shared" si="1"/>
        <v>0.37654996657449946</v>
      </c>
      <c r="AH119" t="s">
        <v>41</v>
      </c>
      <c r="AI119" s="9">
        <f>(G119-MIN($G$2:$G$126))/(MAX($G$2:$G$126)-MIN($G$2:$G$126))</f>
        <v>0.176056338028169</v>
      </c>
      <c r="AJ119" s="9">
        <f>(N119-MIN($N$2:$N$126))/(MAX($N$2:$N$126)-MIN($N$2:$N$126))</f>
        <v>5.9905393449697593E-2</v>
      </c>
      <c r="AK119" s="9">
        <f>(O119-MIN($O$2:$O$126))/(MAX($O$2:$O$126)-MIN($O$2:$O$126))</f>
        <v>0.44325377496346807</v>
      </c>
      <c r="AL119" s="9">
        <f>(S119-MIN($S$2:$S$126))/(MAX($S$2:$S$126)-MIN($S$2:$S$126))</f>
        <v>0.28282122905027934</v>
      </c>
      <c r="AM119" s="9">
        <f>(T119-MIN($T$2:$T$126))/(MAX($T$2:$T$126)-MIN($T$2:$T$126))</f>
        <v>0.13466801094627681</v>
      </c>
      <c r="AN119" s="9">
        <f>1-(AC119-MIN($AC$2:$AC$126))/(MAX($AC$2:$AC$126)-MIN($AC$2:$AC$126))</f>
        <v>0.66324128583401309</v>
      </c>
      <c r="AO119" s="9">
        <f>(AD119-MIN($AD$2:$AD$126))/(MAX($AD$2:$AD$126)-MIN($AD$2:$AD$126))</f>
        <v>5.3892215568862277E-2</v>
      </c>
      <c r="AP119" s="9">
        <f>1-(AE119-MIN($AE$2:$AE$126))/(MAX($AE$2:$AE$126)-MIN($AE$2:$AE$126))</f>
        <v>0.46860000000000002</v>
      </c>
      <c r="AQ119" s="9">
        <f>(V119-MIN($V$2:$V$126))/(MAX($V$2:$V$126)-MIN($V$2:$V$126))</f>
        <v>0.05</v>
      </c>
      <c r="AR119" s="9">
        <f>1-(Y119-MIN($Y$2:$Y$126))/(MAX($Y$2:$Y$126)-MIN($Y$2:$Y$126))</f>
        <v>0.96875</v>
      </c>
      <c r="AS119" s="9">
        <f>1-(AA119-MIN($AA$2:$AA$126))/(MAX($AA$2:$AA$126)-MIN($AA$2:$AA$126))</f>
        <v>1</v>
      </c>
      <c r="AT119" s="9">
        <f>(K119-MIN($K$2:$K$126))/(MAX($K$2:$K$126)-MIN($K$2:$K$126))</f>
        <v>0.57575757575757569</v>
      </c>
      <c r="AU119" s="9">
        <f>(L119-MIN($L$2:$L$126))/(MAX($L$2:$L$126)-MIN($L$2:$L$126))</f>
        <v>9.1306724986331328E-2</v>
      </c>
      <c r="AV119" s="8">
        <f>(AI119*(Tablero!$B$5/100)+AJ119*(Tablero!$B$6/100))*(Tablero!$B$4/100)</f>
        <v>3.2398990049195109E-2</v>
      </c>
      <c r="AW119" s="8">
        <f>(AK119*(Tablero!$B$8/100))*(Tablero!$B$7/100)</f>
        <v>0.11081344374086702</v>
      </c>
      <c r="AX119" s="8">
        <f>(AL119*(Tablero!$B$10/100)+AM119*(Tablero!$B$11/100)+AN119*(Tablero!$B$12/100)+AO119*(Tablero!$B$13/100)+AP119*(Tablero!$B$14/100))*(Tablero!$B$9/100)</f>
        <v>6.5567175265839703E-2</v>
      </c>
      <c r="AY119" s="8">
        <f>(AQ119*(Tablero!$B$16/100)+AR119*(Tablero!$B$17/100)+AS119*(Tablero!$B$18/100))*(Tablero!$B$15/100)</f>
        <v>0.15109375</v>
      </c>
      <c r="AZ119" s="8">
        <f>(AT119*(Tablero!$B$20/100)+AU119*(Tablero!$B$21/100))*(Tablero!$B$19/100)</f>
        <v>1.6676607518597675E-2</v>
      </c>
    </row>
    <row r="120" spans="2:52" hidden="1" x14ac:dyDescent="0.4">
      <c r="B120" t="s">
        <v>277</v>
      </c>
      <c r="C120" t="s">
        <v>278</v>
      </c>
      <c r="D120" s="3">
        <v>59678</v>
      </c>
      <c r="E120" s="3">
        <v>439</v>
      </c>
      <c r="F120">
        <v>181</v>
      </c>
      <c r="G120">
        <v>21.1</v>
      </c>
      <c r="H120">
        <v>52.1</v>
      </c>
      <c r="I120">
        <v>58.8</v>
      </c>
      <c r="J120">
        <v>84</v>
      </c>
      <c r="K120">
        <v>0.19</v>
      </c>
      <c r="L120">
        <v>143</v>
      </c>
      <c r="M120">
        <v>0</v>
      </c>
      <c r="N120">
        <v>699.40700475999984</v>
      </c>
      <c r="O120" s="3">
        <v>6.36</v>
      </c>
      <c r="P120">
        <v>110</v>
      </c>
      <c r="Q120">
        <v>71.314350797266513</v>
      </c>
      <c r="R120">
        <v>48.52</v>
      </c>
      <c r="S120">
        <v>14.35</v>
      </c>
      <c r="T120">
        <v>56.72</v>
      </c>
      <c r="U120">
        <v>56.72</v>
      </c>
      <c r="V120" s="3">
        <v>50</v>
      </c>
      <c r="W120">
        <v>19</v>
      </c>
      <c r="X120">
        <v>15</v>
      </c>
      <c r="Y120">
        <v>4</v>
      </c>
      <c r="Z120">
        <v>0</v>
      </c>
      <c r="AA120" s="3">
        <v>31.8</v>
      </c>
      <c r="AB120">
        <v>126</v>
      </c>
      <c r="AC120">
        <v>86393.89</v>
      </c>
      <c r="AD120">
        <v>0.21</v>
      </c>
      <c r="AE120">
        <v>67.459999999999994</v>
      </c>
      <c r="AF120">
        <v>2.95</v>
      </c>
      <c r="AG120" s="10">
        <f t="shared" si="1"/>
        <v>0.36313290014055866</v>
      </c>
      <c r="AH120" t="s">
        <v>41</v>
      </c>
      <c r="AI120" s="9">
        <f>(G120-MIN($G$2:$G$126))/(MAX($G$2:$G$126)-MIN($G$2:$G$126))</f>
        <v>0.34272300469483569</v>
      </c>
      <c r="AJ120" s="9">
        <f>(N120-MIN($N$2:$N$126))/(MAX($N$2:$N$126)-MIN($N$2:$N$126))</f>
        <v>1.4751377808421569E-2</v>
      </c>
      <c r="AK120" s="9">
        <f>(O120-MIN($O$2:$O$126))/(MAX($O$2:$O$126)-MIN($O$2:$O$126))</f>
        <v>0.30979055041402825</v>
      </c>
      <c r="AL120" s="9">
        <f>(S120-MIN($S$2:$S$126))/(MAX($S$2:$S$126)-MIN($S$2:$S$126))</f>
        <v>8.8919925512104286E-2</v>
      </c>
      <c r="AM120" s="9">
        <f>(T120-MIN($T$2:$T$126))/(MAX($T$2:$T$126)-MIN($T$2:$T$126))</f>
        <v>0.53996831340918905</v>
      </c>
      <c r="AN120" s="9">
        <f>1-(AC120-MIN($AC$2:$AC$126))/(MAX($AC$2:$AC$126)-MIN($AC$2:$AC$126))</f>
        <v>0.2771609369924225</v>
      </c>
      <c r="AO120" s="9">
        <f>(AD120-MIN($AD$2:$AD$126))/(MAX($AD$2:$AD$126)-MIN($AD$2:$AD$126))</f>
        <v>0.12574850299401197</v>
      </c>
      <c r="AP120" s="9">
        <f>1-(AE120-MIN($AE$2:$AE$126))/(MAX($AE$2:$AE$126)-MIN($AE$2:$AE$126))</f>
        <v>0.32540000000000002</v>
      </c>
      <c r="AQ120" s="9">
        <f>(V120-MIN($V$2:$V$126))/(MAX($V$2:$V$126)-MIN($V$2:$V$126))</f>
        <v>0.1388888888888889</v>
      </c>
      <c r="AR120" s="9">
        <f>1-(Y120-MIN($Y$2:$Y$126))/(MAX($Y$2:$Y$126)-MIN($Y$2:$Y$126))</f>
        <v>0.95833333333333337</v>
      </c>
      <c r="AS120" s="9">
        <f>1-(AA120-MIN($AA$2:$AA$126))/(MAX($AA$2:$AA$126)-MIN($AA$2:$AA$126))</f>
        <v>0.79120879120879117</v>
      </c>
      <c r="AT120" s="9">
        <f>(K120-MIN($K$2:$K$126))/(MAX($K$2:$K$126)-MIN($K$2:$K$126))</f>
        <v>0.42424242424242425</v>
      </c>
      <c r="AU120" s="9">
        <f>(L120-MIN($L$2:$L$126))/(MAX($L$2:$L$126)-MIN($L$2:$L$126))</f>
        <v>1.8726079825041007E-2</v>
      </c>
      <c r="AV120" s="8">
        <f>(AI120*(Tablero!$B$5/100)+AJ120*(Tablero!$B$6/100))*(Tablero!$B$4/100)</f>
        <v>5.2883588485067509E-2</v>
      </c>
      <c r="AW120" s="8">
        <f>(AK120*(Tablero!$B$8/100))*(Tablero!$B$7/100)</f>
        <v>7.7447637603507063E-2</v>
      </c>
      <c r="AX120" s="8">
        <f>(AL120*(Tablero!$B$10/100)+AM120*(Tablero!$B$11/100)+AN120*(Tablero!$B$12/100)+AO120*(Tablero!$B$13/100)+AP120*(Tablero!$B$14/100))*(Tablero!$B$9/100)</f>
        <v>6.8266686114522121E-2</v>
      </c>
      <c r="AY120" s="8">
        <f>(AQ120*(Tablero!$B$16/100)+AR120*(Tablero!$B$17/100)+AS120*(Tablero!$B$18/100))*(Tablero!$B$15/100)</f>
        <v>0.15346077533577535</v>
      </c>
      <c r="AZ120" s="8">
        <f>(AT120*(Tablero!$B$20/100)+AU120*(Tablero!$B$21/100))*(Tablero!$B$19/100)</f>
        <v>1.1074212601686631E-2</v>
      </c>
    </row>
    <row r="121" spans="2:52" hidden="1" x14ac:dyDescent="0.4">
      <c r="B121" t="s">
        <v>283</v>
      </c>
      <c r="C121" t="s">
        <v>284</v>
      </c>
      <c r="D121" s="3">
        <v>3087</v>
      </c>
      <c r="E121" s="3">
        <v>25</v>
      </c>
      <c r="F121">
        <v>7</v>
      </c>
      <c r="G121">
        <v>22.3</v>
      </c>
      <c r="H121">
        <v>37.5</v>
      </c>
      <c r="I121">
        <v>72</v>
      </c>
      <c r="J121">
        <v>7</v>
      </c>
      <c r="K121">
        <v>0.28000000000000003</v>
      </c>
      <c r="L121">
        <v>9</v>
      </c>
      <c r="M121">
        <v>0</v>
      </c>
      <c r="N121">
        <v>0.83077102000000025</v>
      </c>
      <c r="O121" s="3">
        <v>0.42</v>
      </c>
      <c r="P121">
        <v>2</v>
      </c>
      <c r="Q121">
        <v>75.8</v>
      </c>
      <c r="R121">
        <v>60</v>
      </c>
      <c r="S121">
        <v>28</v>
      </c>
      <c r="T121">
        <v>68</v>
      </c>
      <c r="U121">
        <v>52</v>
      </c>
      <c r="V121" s="3">
        <v>310</v>
      </c>
      <c r="W121">
        <v>3</v>
      </c>
      <c r="X121">
        <v>3</v>
      </c>
      <c r="Y121">
        <v>0</v>
      </c>
      <c r="Z121">
        <v>0</v>
      </c>
      <c r="AA121" s="3">
        <v>97.2</v>
      </c>
      <c r="AC121">
        <v>52157.1</v>
      </c>
      <c r="AD121">
        <v>0.12</v>
      </c>
      <c r="AE121">
        <v>45.83</v>
      </c>
      <c r="AF121">
        <v>3.02</v>
      </c>
      <c r="AG121" s="10">
        <f t="shared" si="1"/>
        <v>0.40282350921977872</v>
      </c>
      <c r="AH121" t="s">
        <v>48</v>
      </c>
      <c r="AI121" s="9">
        <f>(G121-MIN($G$2:$G$126))/(MAX($G$2:$G$126)-MIN($G$2:$G$126))</f>
        <v>0.37089201877934275</v>
      </c>
      <c r="AJ121" s="9">
        <f>(N121-MIN($N$2:$N$126))/(MAX($N$2:$N$126)-MIN($N$2:$N$126))</f>
        <v>1.7522010939128414E-5</v>
      </c>
      <c r="AK121" s="9">
        <f>(O121-MIN($O$2:$O$126))/(MAX($O$2:$O$126)-MIN($O$2:$O$126))</f>
        <v>2.0457866536775449E-2</v>
      </c>
      <c r="AL121" s="9">
        <f>(S121-MIN($S$2:$S$126))/(MAX($S$2:$S$126)-MIN($S$2:$S$126))</f>
        <v>0.40665735567970202</v>
      </c>
      <c r="AM121" s="9">
        <f>(T121-MIN($T$2:$T$126))/(MAX($T$2:$T$126)-MIN($T$2:$T$126))</f>
        <v>0.70243410629410918</v>
      </c>
      <c r="AN121" s="9">
        <f>1-(AC121-MIN($AC$2:$AC$126))/(MAX($AC$2:$AC$126)-MIN($AC$2:$AC$126))</f>
        <v>0.62580690493720414</v>
      </c>
      <c r="AO121" s="9">
        <f>(AD121-MIN($AD$2:$AD$126))/(MAX($AD$2:$AD$126)-MIN($AD$2:$AD$126))</f>
        <v>7.1856287425149698E-2</v>
      </c>
      <c r="AP121" s="9">
        <f>1-(AE121-MIN($AE$2:$AE$126))/(MAX($AE$2:$AE$126)-MIN($AE$2:$AE$126))</f>
        <v>0.54170000000000007</v>
      </c>
      <c r="AQ121" s="9">
        <f>(V121-MIN($V$2:$V$126))/(MAX($V$2:$V$126)-MIN($V$2:$V$126))</f>
        <v>0.86111111111111116</v>
      </c>
      <c r="AR121" s="9">
        <f>1-(Y121-MIN($Y$2:$Y$126))/(MAX($Y$2:$Y$126)-MIN($Y$2:$Y$126))</f>
        <v>1</v>
      </c>
      <c r="AS121" s="9">
        <f>1-(AA121-MIN($AA$2:$AA$126))/(MAX($AA$2:$AA$126)-MIN($AA$2:$AA$126))</f>
        <v>0.2383770076077768</v>
      </c>
      <c r="AT121" s="9">
        <f>(K121-MIN($K$2:$K$126))/(MAX($K$2:$K$126)-MIN($K$2:$K$126))</f>
        <v>0.69696969696969702</v>
      </c>
      <c r="AU121" s="9">
        <f>(L121-MIN($L$2:$L$126))/(MAX($L$2:$L$126)-MIN($L$2:$L$126))</f>
        <v>4.1006014215418259E-4</v>
      </c>
      <c r="AV121" s="8">
        <f>(AI121*(Tablero!$B$5/100)+AJ121*(Tablero!$B$6/100))*(Tablero!$B$4/100)</f>
        <v>5.5635555017995324E-2</v>
      </c>
      <c r="AW121" s="8">
        <f>(AK121*(Tablero!$B$8/100))*(Tablero!$B$7/100)</f>
        <v>5.1144666341938622E-3</v>
      </c>
      <c r="AX121" s="8">
        <f>(AL121*(Tablero!$B$10/100)+AM121*(Tablero!$B$11/100)+AN121*(Tablero!$B$12/100)+AO121*(Tablero!$B$13/100)+AP121*(Tablero!$B$14/100))*(Tablero!$B$9/100)</f>
        <v>0.10756845733848769</v>
      </c>
      <c r="AY121" s="8">
        <f>(AQ121*(Tablero!$B$16/100)+AR121*(Tablero!$B$17/100)+AS121*(Tablero!$B$18/100))*(Tablero!$B$15/100)</f>
        <v>0.21707053630130557</v>
      </c>
      <c r="AZ121" s="8">
        <f>(AT121*(Tablero!$B$20/100)+AU121*(Tablero!$B$21/100))*(Tablero!$B$19/100)</f>
        <v>1.743449392779628E-2</v>
      </c>
    </row>
    <row r="122" spans="2:52" hidden="1" x14ac:dyDescent="0.4">
      <c r="B122" t="s">
        <v>279</v>
      </c>
      <c r="C122" t="s">
        <v>280</v>
      </c>
      <c r="D122" s="3">
        <v>2105</v>
      </c>
      <c r="E122" s="3">
        <v>23</v>
      </c>
      <c r="F122">
        <v>11</v>
      </c>
      <c r="G122">
        <v>31</v>
      </c>
      <c r="H122">
        <v>89.1</v>
      </c>
      <c r="I122">
        <v>52.2</v>
      </c>
      <c r="J122">
        <v>5</v>
      </c>
      <c r="K122">
        <v>0.22</v>
      </c>
      <c r="L122">
        <v>13</v>
      </c>
      <c r="M122">
        <v>0</v>
      </c>
      <c r="N122">
        <v>42.211683509999993</v>
      </c>
      <c r="O122" s="3">
        <v>5.28</v>
      </c>
      <c r="P122">
        <v>8</v>
      </c>
      <c r="Q122">
        <v>81.086956521739125</v>
      </c>
      <c r="R122">
        <v>69.569999999999993</v>
      </c>
      <c r="S122">
        <v>47.83</v>
      </c>
      <c r="T122">
        <v>30.43</v>
      </c>
      <c r="U122">
        <v>69.569999999999993</v>
      </c>
      <c r="V122" s="3">
        <v>210</v>
      </c>
      <c r="W122">
        <v>1</v>
      </c>
      <c r="X122">
        <v>1</v>
      </c>
      <c r="Y122">
        <v>0</v>
      </c>
      <c r="Z122">
        <v>0</v>
      </c>
      <c r="AA122" s="3">
        <v>47.5</v>
      </c>
      <c r="AB122">
        <v>18</v>
      </c>
      <c r="AC122">
        <v>60305.3</v>
      </c>
      <c r="AD122">
        <v>0</v>
      </c>
      <c r="AE122">
        <v>61.11</v>
      </c>
      <c r="AF122">
        <v>4.71</v>
      </c>
      <c r="AG122" s="10">
        <f t="shared" si="1"/>
        <v>0.43236363148960588</v>
      </c>
      <c r="AH122" t="s">
        <v>41</v>
      </c>
      <c r="AI122" s="9">
        <f>(G122-MIN($G$2:$G$126))/(MAX($G$2:$G$126)-MIN($G$2:$G$126))</f>
        <v>0.57511737089201875</v>
      </c>
      <c r="AJ122" s="9">
        <f>(N122-MIN($N$2:$N$126))/(MAX($N$2:$N$126)-MIN($N$2:$N$126))</f>
        <v>8.9029776245835596E-4</v>
      </c>
      <c r="AK122" s="9">
        <f>(O122-MIN($O$2:$O$126))/(MAX($O$2:$O$126)-MIN($O$2:$O$126))</f>
        <v>0.25718460789089137</v>
      </c>
      <c r="AL122" s="9">
        <f>(S122-MIN($S$2:$S$126))/(MAX($S$2:$S$126)-MIN($S$2:$S$126))</f>
        <v>0.86824953445065167</v>
      </c>
      <c r="AM122" s="9">
        <f>(T122-MIN($T$2:$T$126))/(MAX($T$2:$T$126)-MIN($T$2:$T$126))</f>
        <v>0.16131355321906957</v>
      </c>
      <c r="AN122" s="9">
        <f>1-(AC122-MIN($AC$2:$AC$126))/(MAX($AC$2:$AC$126)-MIN($AC$2:$AC$126))</f>
        <v>0.54283075337604236</v>
      </c>
      <c r="AO122" s="9">
        <f>(AD122-MIN($AD$2:$AD$126))/(MAX($AD$2:$AD$126)-MIN($AD$2:$AD$126))</f>
        <v>0</v>
      </c>
      <c r="AP122" s="9">
        <f>1-(AE122-MIN($AE$2:$AE$126))/(MAX($AE$2:$AE$126)-MIN($AE$2:$AE$126))</f>
        <v>0.38890000000000002</v>
      </c>
      <c r="AQ122" s="9">
        <f>(V122-MIN($V$2:$V$126))/(MAX($V$2:$V$126)-MIN($V$2:$V$126))</f>
        <v>0.58333333333333337</v>
      </c>
      <c r="AR122" s="9">
        <f>1-(Y122-MIN($Y$2:$Y$126))/(MAX($Y$2:$Y$126)-MIN($Y$2:$Y$126))</f>
        <v>1</v>
      </c>
      <c r="AS122" s="9">
        <f>1-(AA122-MIN($AA$2:$AA$126))/(MAX($AA$2:$AA$126)-MIN($AA$2:$AA$126))</f>
        <v>0.65849535080304311</v>
      </c>
      <c r="AT122" s="9">
        <f>(K122-MIN($K$2:$K$126))/(MAX($K$2:$K$126)-MIN($K$2:$K$126))</f>
        <v>0.51515151515151503</v>
      </c>
      <c r="AU122" s="9">
        <f>(L122-MIN($L$2:$L$126))/(MAX($L$2:$L$126)-MIN($L$2:$L$126))</f>
        <v>9.5680699835975938E-4</v>
      </c>
      <c r="AV122" s="8">
        <f>(AI122*(Tablero!$B$5/100)+AJ122*(Tablero!$B$6/100))*(Tablero!$B$4/100)</f>
        <v>8.6356635410048649E-2</v>
      </c>
      <c r="AW122" s="8">
        <f>(AK122*(Tablero!$B$8/100))*(Tablero!$B$7/100)</f>
        <v>6.4296151972722843E-2</v>
      </c>
      <c r="AX122" s="8">
        <f>(AL122*(Tablero!$B$10/100)+AM122*(Tablero!$B$11/100)+AN122*(Tablero!$B$12/100)+AO122*(Tablero!$B$13/100)+AP122*(Tablero!$B$14/100))*(Tablero!$B$9/100)</f>
        <v>6.9012418949678064E-2</v>
      </c>
      <c r="AY122" s="8">
        <f>(AQ122*(Tablero!$B$16/100)+AR122*(Tablero!$B$17/100)+AS122*(Tablero!$B$18/100))*(Tablero!$B$15/100)</f>
        <v>0.19979571710340943</v>
      </c>
      <c r="AZ122" s="8">
        <f>(AT122*(Tablero!$B$20/100)+AU122*(Tablero!$B$21/100))*(Tablero!$B$19/100)</f>
        <v>1.290270805374687E-2</v>
      </c>
    </row>
    <row r="123" spans="2:52" hidden="1" x14ac:dyDescent="0.4">
      <c r="B123" t="s">
        <v>287</v>
      </c>
      <c r="C123" t="s">
        <v>288</v>
      </c>
      <c r="D123" s="3">
        <v>3190</v>
      </c>
      <c r="E123" s="3">
        <v>20</v>
      </c>
      <c r="F123">
        <v>5</v>
      </c>
      <c r="G123">
        <v>17</v>
      </c>
      <c r="H123">
        <v>25.6</v>
      </c>
      <c r="I123">
        <v>75</v>
      </c>
      <c r="J123">
        <v>3</v>
      </c>
      <c r="K123">
        <v>0.15</v>
      </c>
      <c r="L123">
        <v>8</v>
      </c>
      <c r="M123">
        <v>0</v>
      </c>
      <c r="N123">
        <v>9.1036745400000001</v>
      </c>
      <c r="O123" s="3">
        <v>2.2799999999999998</v>
      </c>
      <c r="P123">
        <v>4</v>
      </c>
      <c r="Q123">
        <v>74.400000000000006</v>
      </c>
      <c r="R123">
        <v>35</v>
      </c>
      <c r="S123">
        <v>30</v>
      </c>
      <c r="T123">
        <v>70</v>
      </c>
      <c r="U123">
        <v>65</v>
      </c>
      <c r="V123" s="3">
        <v>200</v>
      </c>
      <c r="W123">
        <v>4</v>
      </c>
      <c r="X123">
        <v>4</v>
      </c>
      <c r="Y123">
        <v>0</v>
      </c>
      <c r="Z123">
        <v>0</v>
      </c>
      <c r="AA123" s="3">
        <v>125.4</v>
      </c>
      <c r="AC123">
        <v>52157.1</v>
      </c>
      <c r="AD123">
        <v>0.12</v>
      </c>
      <c r="AE123">
        <v>45.83</v>
      </c>
      <c r="AF123">
        <v>3.02</v>
      </c>
      <c r="AG123" s="10">
        <f t="shared" si="1"/>
        <v>0.36312134222976833</v>
      </c>
      <c r="AH123" t="s">
        <v>48</v>
      </c>
      <c r="AI123" s="9">
        <f>(G123-MIN($G$2:$G$126))/(MAX($G$2:$G$126)-MIN($G$2:$G$126))</f>
        <v>0.24647887323943662</v>
      </c>
      <c r="AJ123" s="9">
        <f>(N123-MIN($N$2:$N$126))/(MAX($N$2:$N$126)-MIN($N$2:$N$126))</f>
        <v>1.9200800345219648E-4</v>
      </c>
      <c r="AK123" s="9">
        <f>(O123-MIN($O$2:$O$126))/(MAX($O$2:$O$126)-MIN($O$2:$O$126))</f>
        <v>0.11105698977106672</v>
      </c>
      <c r="AL123" s="9">
        <f>(S123-MIN($S$2:$S$126))/(MAX($S$2:$S$126)-MIN($S$2:$S$126))</f>
        <v>0.45321229050279327</v>
      </c>
      <c r="AM123" s="9">
        <f>(T123-MIN($T$2:$T$126))/(MAX($T$2:$T$126)-MIN($T$2:$T$126))</f>
        <v>0.73124009794037159</v>
      </c>
      <c r="AN123" s="9">
        <f>1-(AC123-MIN($AC$2:$AC$126))/(MAX($AC$2:$AC$126)-MIN($AC$2:$AC$126))</f>
        <v>0.62580690493720414</v>
      </c>
      <c r="AO123" s="9">
        <f>(AD123-MIN($AD$2:$AD$126))/(MAX($AD$2:$AD$126)-MIN($AD$2:$AD$126))</f>
        <v>7.1856287425149698E-2</v>
      </c>
      <c r="AP123" s="9">
        <f>1-(AE123-MIN($AE$2:$AE$126))/(MAX($AE$2:$AE$126)-MIN($AE$2:$AE$126))</f>
        <v>0.54170000000000007</v>
      </c>
      <c r="AQ123" s="9">
        <f>(V123-MIN($V$2:$V$126))/(MAX($V$2:$V$126)-MIN($V$2:$V$126))</f>
        <v>0.55555555555555558</v>
      </c>
      <c r="AR123" s="9">
        <f>1-(Y123-MIN($Y$2:$Y$126))/(MAX($Y$2:$Y$126)-MIN($Y$2:$Y$126))</f>
        <v>1</v>
      </c>
      <c r="AS123" s="9">
        <f>1-(AA123-MIN($AA$2:$AA$126))/(MAX($AA$2:$AA$126)-MIN($AA$2:$AA$126))</f>
        <v>0</v>
      </c>
      <c r="AT123" s="9">
        <f>(K123-MIN($K$2:$K$126))/(MAX($K$2:$K$126)-MIN($K$2:$K$126))</f>
        <v>0.30303030303030298</v>
      </c>
      <c r="AU123" s="9">
        <f>(L123-MIN($L$2:$L$126))/(MAX($L$2:$L$126)-MIN($L$2:$L$126))</f>
        <v>2.7337342810278839E-4</v>
      </c>
      <c r="AV123" s="8">
        <f>(AI123*(Tablero!$B$5/100)+AJ123*(Tablero!$B$6/100))*(Tablero!$B$4/100)</f>
        <v>3.699103178626071E-2</v>
      </c>
      <c r="AW123" s="8">
        <f>(AK123*(Tablero!$B$8/100))*(Tablero!$B$7/100)</f>
        <v>2.776424744276668E-2</v>
      </c>
      <c r="AX123" s="8">
        <f>(AL123*(Tablero!$B$10/100)+AM123*(Tablero!$B$11/100)+AN123*(Tablero!$B$12/100)+AO123*(Tablero!$B$13/100)+AP123*(Tablero!$B$14/100))*(Tablero!$B$9/100)</f>
        <v>0.11022791553372524</v>
      </c>
      <c r="AY123" s="8">
        <f>(AQ123*(Tablero!$B$16/100)+AR123*(Tablero!$B$17/100)+AS123*(Tablero!$B$18/100))*(Tablero!$B$15/100)</f>
        <v>0.18055555555555555</v>
      </c>
      <c r="AZ123" s="8">
        <f>(AT123*(Tablero!$B$20/100)+AU123*(Tablero!$B$21/100))*(Tablero!$B$19/100)</f>
        <v>7.5825919114601448E-3</v>
      </c>
    </row>
    <row r="124" spans="2:52" hidden="1" x14ac:dyDescent="0.4">
      <c r="B124" t="s">
        <v>281</v>
      </c>
      <c r="C124" t="s">
        <v>282</v>
      </c>
      <c r="D124" s="3">
        <v>1995</v>
      </c>
      <c r="E124" s="3">
        <v>19</v>
      </c>
      <c r="F124">
        <v>5</v>
      </c>
      <c r="G124">
        <v>25.4</v>
      </c>
      <c r="H124">
        <v>40.1</v>
      </c>
      <c r="I124">
        <v>73.7</v>
      </c>
      <c r="J124">
        <v>3</v>
      </c>
      <c r="K124">
        <v>0.16</v>
      </c>
      <c r="L124">
        <v>7</v>
      </c>
      <c r="M124">
        <v>0</v>
      </c>
      <c r="N124">
        <v>5.2847590399999973</v>
      </c>
      <c r="O124" s="3">
        <v>5.28</v>
      </c>
      <c r="P124">
        <v>1</v>
      </c>
      <c r="Q124">
        <v>75</v>
      </c>
      <c r="R124">
        <v>52.63</v>
      </c>
      <c r="S124">
        <v>10.53</v>
      </c>
      <c r="T124">
        <v>84.21</v>
      </c>
      <c r="U124">
        <v>52.63</v>
      </c>
      <c r="V124" s="3">
        <v>205</v>
      </c>
      <c r="W124">
        <v>2</v>
      </c>
      <c r="X124">
        <v>2</v>
      </c>
      <c r="Y124">
        <v>0</v>
      </c>
      <c r="Z124">
        <v>0</v>
      </c>
      <c r="AA124" s="3">
        <v>100.3</v>
      </c>
      <c r="AC124">
        <v>52157.1</v>
      </c>
      <c r="AD124">
        <v>0.12</v>
      </c>
      <c r="AE124">
        <v>45.83</v>
      </c>
      <c r="AF124">
        <v>3.02</v>
      </c>
      <c r="AG124" s="10">
        <f t="shared" si="1"/>
        <v>0.43988576395384243</v>
      </c>
      <c r="AH124" t="s">
        <v>48</v>
      </c>
      <c r="AI124" s="9">
        <f>(G124-MIN($G$2:$G$126))/(MAX($G$2:$G$126)-MIN($G$2:$G$126))</f>
        <v>0.44366197183098588</v>
      </c>
      <c r="AJ124" s="9">
        <f>(N124-MIN($N$2:$N$126))/(MAX($N$2:$N$126)-MIN($N$2:$N$126))</f>
        <v>1.1146224829741617E-4</v>
      </c>
      <c r="AK124" s="9">
        <f>(O124-MIN($O$2:$O$126))/(MAX($O$2:$O$126)-MIN($O$2:$O$126))</f>
        <v>0.25718460789089137</v>
      </c>
      <c r="AL124" s="9">
        <f>(S124-MIN($S$2:$S$126))/(MAX($S$2:$S$126)-MIN($S$2:$S$126))</f>
        <v>0</v>
      </c>
      <c r="AM124" s="9">
        <f>(T124-MIN($T$2:$T$126))/(MAX($T$2:$T$126)-MIN($T$2:$T$126))</f>
        <v>0.93590666858706606</v>
      </c>
      <c r="AN124" s="9">
        <f>1-(AC124-MIN($AC$2:$AC$126))/(MAX($AC$2:$AC$126)-MIN($AC$2:$AC$126))</f>
        <v>0.62580690493720414</v>
      </c>
      <c r="AO124" s="9">
        <f>(AD124-MIN($AD$2:$AD$126))/(MAX($AD$2:$AD$126)-MIN($AD$2:$AD$126))</f>
        <v>7.1856287425149698E-2</v>
      </c>
      <c r="AP124" s="9">
        <f>1-(AE124-MIN($AE$2:$AE$126))/(MAX($AE$2:$AE$126)-MIN($AE$2:$AE$126))</f>
        <v>0.54170000000000007</v>
      </c>
      <c r="AQ124" s="9">
        <f>(V124-MIN($V$2:$V$126))/(MAX($V$2:$V$126)-MIN($V$2:$V$126))</f>
        <v>0.56944444444444442</v>
      </c>
      <c r="AR124" s="9">
        <f>1-(Y124-MIN($Y$2:$Y$126))/(MAX($Y$2:$Y$126)-MIN($Y$2:$Y$126))</f>
        <v>1</v>
      </c>
      <c r="AS124" s="9">
        <f>1-(AA124-MIN($AA$2:$AA$126))/(MAX($AA$2:$AA$126)-MIN($AA$2:$AA$126))</f>
        <v>0.21217244294167381</v>
      </c>
      <c r="AT124" s="9">
        <f>(K124-MIN($K$2:$K$126))/(MAX($K$2:$K$126)-MIN($K$2:$K$126))</f>
        <v>0.33333333333333331</v>
      </c>
      <c r="AU124" s="9">
        <f>(L124-MIN($L$2:$L$126))/(MAX($L$2:$L$126)-MIN($L$2:$L$126))</f>
        <v>1.366867140513942E-4</v>
      </c>
      <c r="AV124" s="8">
        <f>(AI124*(Tablero!$B$5/100)+AJ124*(Tablero!$B$6/100))*(Tablero!$B$4/100)</f>
        <v>6.6560441999477624E-2</v>
      </c>
      <c r="AW124" s="8">
        <f>(AK124*(Tablero!$B$8/100))*(Tablero!$B$7/100)</f>
        <v>6.4296151972722843E-2</v>
      </c>
      <c r="AX124" s="8">
        <f>(AL124*(Tablero!$B$10/100)+AM124*(Tablero!$B$11/100)+AN124*(Tablero!$B$12/100)+AO124*(Tablero!$B$13/100)+AP124*(Tablero!$B$14/100))*(Tablero!$B$9/100)</f>
        <v>0.11344366396247106</v>
      </c>
      <c r="AY124" s="8">
        <f>(AQ124*(Tablero!$B$16/100)+AR124*(Tablero!$B$17/100)+AS124*(Tablero!$B$18/100))*(Tablero!$B$15/100)</f>
        <v>0.18724875551798628</v>
      </c>
      <c r="AZ124" s="8">
        <f>(AT124*(Tablero!$B$20/100)+AU124*(Tablero!$B$21/100))*(Tablero!$B$19/100)</f>
        <v>8.3367505011846168E-3</v>
      </c>
    </row>
    <row r="125" spans="2:52" hidden="1" x14ac:dyDescent="0.4">
      <c r="B125" t="s">
        <v>285</v>
      </c>
      <c r="C125" t="s">
        <v>286</v>
      </c>
      <c r="D125" s="3">
        <v>2822</v>
      </c>
      <c r="E125" s="3">
        <v>19</v>
      </c>
      <c r="F125">
        <v>3</v>
      </c>
      <c r="G125">
        <v>18.2</v>
      </c>
      <c r="H125">
        <v>17.2</v>
      </c>
      <c r="I125">
        <v>84.2</v>
      </c>
      <c r="J125">
        <v>1</v>
      </c>
      <c r="K125">
        <v>0.05</v>
      </c>
      <c r="L125">
        <v>7</v>
      </c>
      <c r="M125">
        <v>0</v>
      </c>
      <c r="N125">
        <v>14.818915499999999</v>
      </c>
      <c r="O125" s="3">
        <v>4.9400000000000004</v>
      </c>
      <c r="P125">
        <v>3</v>
      </c>
      <c r="Q125">
        <v>75.631578947368425</v>
      </c>
      <c r="R125">
        <v>31.58</v>
      </c>
      <c r="S125">
        <v>26.32</v>
      </c>
      <c r="T125">
        <v>73.680000000000007</v>
      </c>
      <c r="U125">
        <v>52.63</v>
      </c>
      <c r="V125" s="3">
        <v>75</v>
      </c>
      <c r="W125">
        <v>1</v>
      </c>
      <c r="X125">
        <v>1</v>
      </c>
      <c r="Y125">
        <v>0</v>
      </c>
      <c r="Z125">
        <v>0</v>
      </c>
      <c r="AA125" s="3">
        <v>35.4</v>
      </c>
      <c r="AC125">
        <v>52157.1</v>
      </c>
      <c r="AD125">
        <v>0.12</v>
      </c>
      <c r="AE125">
        <v>45.83</v>
      </c>
      <c r="AF125">
        <v>3.02</v>
      </c>
      <c r="AG125" s="10">
        <f t="shared" si="1"/>
        <v>0.37793537553141088</v>
      </c>
      <c r="AH125" t="s">
        <v>48</v>
      </c>
      <c r="AI125" s="9">
        <f>(G125-MIN($G$2:$G$126))/(MAX($G$2:$G$126)-MIN($G$2:$G$126))</f>
        <v>0.27464788732394363</v>
      </c>
      <c r="AJ125" s="9">
        <f>(N125-MIN($N$2:$N$126))/(MAX($N$2:$N$126)-MIN($N$2:$N$126))</f>
        <v>3.1254965958853442E-4</v>
      </c>
      <c r="AK125" s="9">
        <f>(O125-MIN($O$2:$O$126))/(MAX($O$2:$O$126)-MIN($O$2:$O$126))</f>
        <v>0.24062347783731125</v>
      </c>
      <c r="AL125" s="9">
        <f>(S125-MIN($S$2:$S$126))/(MAX($S$2:$S$126)-MIN($S$2:$S$126))</f>
        <v>0.36755121042830541</v>
      </c>
      <c r="AM125" s="9">
        <f>(T125-MIN($T$2:$T$126))/(MAX($T$2:$T$126)-MIN($T$2:$T$126))</f>
        <v>0.78424312256949458</v>
      </c>
      <c r="AN125" s="9">
        <f>1-(AC125-MIN($AC$2:$AC$126))/(MAX($AC$2:$AC$126)-MIN($AC$2:$AC$126))</f>
        <v>0.62580690493720414</v>
      </c>
      <c r="AO125" s="9">
        <f>(AD125-MIN($AD$2:$AD$126))/(MAX($AD$2:$AD$126)-MIN($AD$2:$AD$126))</f>
        <v>7.1856287425149698E-2</v>
      </c>
      <c r="AP125" s="9">
        <f>1-(AE125-MIN($AE$2:$AE$126))/(MAX($AE$2:$AE$126)-MIN($AE$2:$AE$126))</f>
        <v>0.54170000000000007</v>
      </c>
      <c r="AQ125" s="9">
        <f>(V125-MIN($V$2:$V$126))/(MAX($V$2:$V$126)-MIN($V$2:$V$126))</f>
        <v>0.20833333333333334</v>
      </c>
      <c r="AR125" s="9">
        <f>1-(Y125-MIN($Y$2:$Y$126))/(MAX($Y$2:$Y$126)-MIN($Y$2:$Y$126))</f>
        <v>1</v>
      </c>
      <c r="AS125" s="9">
        <f>1-(AA125-MIN($AA$2:$AA$126))/(MAX($AA$2:$AA$126)-MIN($AA$2:$AA$126))</f>
        <v>0.76077768385460698</v>
      </c>
      <c r="AT125" s="9">
        <f>(K125-MIN($K$2:$K$126))/(MAX($K$2:$K$126)-MIN($K$2:$K$126))</f>
        <v>0</v>
      </c>
      <c r="AU125" s="9">
        <f>(L125-MIN($L$2:$L$126))/(MAX($L$2:$L$126)-MIN($L$2:$L$126))</f>
        <v>1.366867140513942E-4</v>
      </c>
      <c r="AV125" s="8">
        <f>(AI125*(Tablero!$B$5/100)+AJ125*(Tablero!$B$6/100))*(Tablero!$B$4/100)</f>
        <v>4.1228438064550399E-2</v>
      </c>
      <c r="AW125" s="8">
        <f>(AK125*(Tablero!$B$8/100))*(Tablero!$B$7/100)</f>
        <v>6.0155869459327813E-2</v>
      </c>
      <c r="AX125" s="8">
        <f>(AL125*(Tablero!$B$10/100)+AM125*(Tablero!$B$11/100)+AN125*(Tablero!$B$12/100)+AO125*(Tablero!$B$13/100)+AP125*(Tablero!$B$14/100))*(Tablero!$B$9/100)</f>
        <v>0.11169487540998287</v>
      </c>
      <c r="AY125" s="8">
        <f>(AQ125*(Tablero!$B$16/100)+AR125*(Tablero!$B$17/100)+AS125*(Tablero!$B$18/100))*(Tablero!$B$15/100)</f>
        <v>0.16485277542969851</v>
      </c>
      <c r="AZ125" s="8">
        <f>(AT125*(Tablero!$B$20/100)+AU125*(Tablero!$B$21/100))*(Tablero!$B$19/100)</f>
        <v>3.4171678512848551E-6</v>
      </c>
    </row>
    <row r="126" spans="2:52" hidden="1" x14ac:dyDescent="0.4">
      <c r="B126" t="s">
        <v>289</v>
      </c>
      <c r="C126" t="s">
        <v>290</v>
      </c>
      <c r="D126" s="3">
        <v>1669</v>
      </c>
      <c r="E126" s="3">
        <v>10</v>
      </c>
      <c r="F126">
        <v>5</v>
      </c>
      <c r="G126">
        <v>15.8</v>
      </c>
      <c r="H126">
        <v>47.4</v>
      </c>
      <c r="I126">
        <v>50</v>
      </c>
      <c r="J126">
        <v>2</v>
      </c>
      <c r="K126">
        <v>0.2</v>
      </c>
      <c r="L126">
        <v>6</v>
      </c>
      <c r="M126">
        <v>0</v>
      </c>
      <c r="N126">
        <v>0.66693995999999345</v>
      </c>
      <c r="O126" s="3">
        <v>0.33</v>
      </c>
      <c r="P126">
        <v>2</v>
      </c>
      <c r="Q126">
        <v>78</v>
      </c>
      <c r="R126">
        <v>50</v>
      </c>
      <c r="S126">
        <v>30</v>
      </c>
      <c r="T126">
        <v>80</v>
      </c>
      <c r="U126">
        <v>70</v>
      </c>
      <c r="V126" s="3">
        <v>155</v>
      </c>
      <c r="W126">
        <v>1</v>
      </c>
      <c r="X126">
        <v>1</v>
      </c>
      <c r="Y126">
        <v>0</v>
      </c>
      <c r="Z126">
        <v>0</v>
      </c>
      <c r="AA126" s="3">
        <v>59.9</v>
      </c>
      <c r="AC126">
        <v>52157.1</v>
      </c>
      <c r="AD126">
        <v>0.12</v>
      </c>
      <c r="AE126">
        <v>45.83</v>
      </c>
      <c r="AF126">
        <v>3.02</v>
      </c>
      <c r="AG126" s="10">
        <f t="shared" si="1"/>
        <v>0.34889722728247574</v>
      </c>
      <c r="AH126" t="s">
        <v>48</v>
      </c>
      <c r="AI126" s="9">
        <f>(G126-MIN($G$2:$G$126))/(MAX($G$2:$G$126)-MIN($G$2:$G$126))</f>
        <v>0.21830985915492959</v>
      </c>
      <c r="AJ126" s="9">
        <f>(N126-MIN($N$2:$N$126))/(MAX($N$2:$N$126)-MIN($N$2:$N$126))</f>
        <v>1.4066606794808211E-5</v>
      </c>
      <c r="AK126" s="9">
        <f>(O126-MIN($O$2:$O$126))/(MAX($O$2:$O$126)-MIN($O$2:$O$126))</f>
        <v>1.6074037993180711E-2</v>
      </c>
      <c r="AL126" s="9">
        <f>(S126-MIN($S$2:$S$126))/(MAX($S$2:$S$126)-MIN($S$2:$S$126))</f>
        <v>0.45321229050279327</v>
      </c>
      <c r="AM126" s="9">
        <f>(T126-MIN($T$2:$T$126))/(MAX($T$2:$T$126)-MIN($T$2:$T$126))</f>
        <v>0.87527005617168374</v>
      </c>
      <c r="AN126" s="9">
        <f>1-(AC126-MIN($AC$2:$AC$126))/(MAX($AC$2:$AC$126)-MIN($AC$2:$AC$126))</f>
        <v>0.62580690493720414</v>
      </c>
      <c r="AO126" s="9">
        <f>(AD126-MIN($AD$2:$AD$126))/(MAX($AD$2:$AD$126)-MIN($AD$2:$AD$126))</f>
        <v>7.1856287425149698E-2</v>
      </c>
      <c r="AP126" s="9">
        <f>1-(AE126-MIN($AE$2:$AE$126))/(MAX($AE$2:$AE$126)-MIN($AE$2:$AE$126))</f>
        <v>0.54170000000000007</v>
      </c>
      <c r="AQ126" s="9">
        <f>(V126-MIN($V$2:$V$126))/(MAX($V$2:$V$126)-MIN($V$2:$V$126))</f>
        <v>0.43055555555555558</v>
      </c>
      <c r="AR126" s="9">
        <f>1-(Y126-MIN($Y$2:$Y$126))/(MAX($Y$2:$Y$126)-MIN($Y$2:$Y$126))</f>
        <v>1</v>
      </c>
      <c r="AS126" s="9">
        <f>1-(AA126-MIN($AA$2:$AA$126))/(MAX($AA$2:$AA$126)-MIN($AA$2:$AA$126))</f>
        <v>0.5536770921386307</v>
      </c>
      <c r="AT126" s="9">
        <f>(K126-MIN($K$2:$K$126))/(MAX($K$2:$K$126)-MIN($K$2:$K$126))</f>
        <v>0.45454545454545459</v>
      </c>
      <c r="AU126" s="9">
        <f>(L126-MIN($L$2:$L$126))/(MAX($L$2:$L$126)-MIN($L$2:$L$126))</f>
        <v>0</v>
      </c>
      <c r="AV126" s="8">
        <f>(AI126*(Tablero!$B$5/100)+AJ126*(Tablero!$B$6/100))*(Tablero!$B$4/100)</f>
        <v>3.2747885533918913E-2</v>
      </c>
      <c r="AW126" s="8">
        <f>(AK126*(Tablero!$B$8/100))*(Tablero!$B$7/100)</f>
        <v>4.0185094982951777E-3</v>
      </c>
      <c r="AX126" s="8">
        <f>(AL126*(Tablero!$B$10/100)+AM126*(Tablero!$B$11/100)+AN126*(Tablero!$B$12/100)+AO126*(Tablero!$B$13/100)+AP126*(Tablero!$B$14/100))*(Tablero!$B$9/100)</f>
        <v>0.11886971302760396</v>
      </c>
      <c r="AY126" s="8">
        <f>(AQ126*(Tablero!$B$16/100)+AR126*(Tablero!$B$17/100)+AS126*(Tablero!$B$18/100))*(Tablero!$B$15/100)</f>
        <v>0.18189748285902133</v>
      </c>
      <c r="AZ126" s="8">
        <f>(AT126*(Tablero!$B$20/100)+AU126*(Tablero!$B$21/100))*(Tablero!$B$19/100)</f>
        <v>1.1363636363636366E-2</v>
      </c>
    </row>
  </sheetData>
  <autoFilter ref="A1:AH126" xr:uid="{00000000-0001-0000-0000-000000000000}">
    <filterColumn colId="3">
      <customFilters and="1">
        <customFilter operator="greaterThanOrEqual" val="20000"/>
        <customFilter operator="lessThanOrEqual" val="40000"/>
      </customFilters>
    </filterColumn>
    <sortState xmlns:xlrd2="http://schemas.microsoft.com/office/spreadsheetml/2017/richdata2" ref="A17:AH114">
      <sortCondition descending="1" ref="AG1:AG1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selection activeCell="B9" sqref="B9"/>
    </sheetView>
  </sheetViews>
  <sheetFormatPr baseColWidth="10" defaultColWidth="9.23046875" defaultRowHeight="14.6" x14ac:dyDescent="0.4"/>
  <cols>
    <col min="1" max="1" width="33.4609375" bestFit="1" customWidth="1"/>
    <col min="2" max="2" width="34.15234375" customWidth="1"/>
    <col min="3" max="3" width="112.4609375" customWidth="1"/>
  </cols>
  <sheetData>
    <row r="1" spans="1:3" x14ac:dyDescent="0.4">
      <c r="A1" s="5" t="s">
        <v>291</v>
      </c>
      <c r="B1" s="5" t="s">
        <v>292</v>
      </c>
      <c r="C1" s="5" t="s">
        <v>293</v>
      </c>
    </row>
    <row r="2" spans="1:3" x14ac:dyDescent="0.4">
      <c r="A2" s="6" t="s">
        <v>294</v>
      </c>
      <c r="B2" s="6" t="s">
        <v>1</v>
      </c>
      <c r="C2" s="6" t="s">
        <v>295</v>
      </c>
    </row>
    <row r="3" spans="1:3" x14ac:dyDescent="0.4">
      <c r="A3" s="6" t="s">
        <v>294</v>
      </c>
      <c r="B3" s="6" t="s">
        <v>2</v>
      </c>
      <c r="C3" s="6" t="s">
        <v>296</v>
      </c>
    </row>
    <row r="4" spans="1:3" x14ac:dyDescent="0.4">
      <c r="A4" s="6" t="s">
        <v>294</v>
      </c>
      <c r="B4" s="6" t="s">
        <v>3</v>
      </c>
      <c r="C4" s="6" t="s">
        <v>297</v>
      </c>
    </row>
    <row r="5" spans="1:3" x14ac:dyDescent="0.4">
      <c r="A5" s="6" t="s">
        <v>298</v>
      </c>
      <c r="B5" s="6" t="s">
        <v>4</v>
      </c>
      <c r="C5" s="6" t="s">
        <v>398</v>
      </c>
    </row>
    <row r="6" spans="1:3" x14ac:dyDescent="0.4">
      <c r="A6" s="6" t="s">
        <v>298</v>
      </c>
      <c r="B6" s="6" t="s">
        <v>5</v>
      </c>
      <c r="C6" s="6" t="s">
        <v>399</v>
      </c>
    </row>
    <row r="7" spans="1:3" x14ac:dyDescent="0.4">
      <c r="A7" s="6" t="s">
        <v>298</v>
      </c>
      <c r="B7" s="6" t="s">
        <v>6</v>
      </c>
      <c r="C7" s="6" t="s">
        <v>400</v>
      </c>
    </row>
    <row r="8" spans="1:3" ht="29.15" x14ac:dyDescent="0.4">
      <c r="A8" s="6" t="s">
        <v>298</v>
      </c>
      <c r="B8" s="6" t="s">
        <v>7</v>
      </c>
      <c r="C8" s="6" t="s">
        <v>401</v>
      </c>
    </row>
    <row r="9" spans="1:3" ht="29.15" x14ac:dyDescent="0.4">
      <c r="A9" s="6" t="s">
        <v>298</v>
      </c>
      <c r="B9" s="6" t="s">
        <v>8</v>
      </c>
      <c r="C9" s="6" t="s">
        <v>402</v>
      </c>
    </row>
    <row r="10" spans="1:3" x14ac:dyDescent="0.4">
      <c r="A10" s="6" t="s">
        <v>298</v>
      </c>
      <c r="B10" s="6" t="s">
        <v>9</v>
      </c>
      <c r="C10" s="6" t="s">
        <v>403</v>
      </c>
    </row>
    <row r="11" spans="1:3" x14ac:dyDescent="0.4">
      <c r="A11" s="6" t="s">
        <v>404</v>
      </c>
      <c r="B11" s="6" t="s">
        <v>379</v>
      </c>
      <c r="C11" s="6" t="s">
        <v>405</v>
      </c>
    </row>
    <row r="12" spans="1:3" x14ac:dyDescent="0.4">
      <c r="A12" s="6" t="s">
        <v>404</v>
      </c>
      <c r="B12" s="6" t="s">
        <v>380</v>
      </c>
      <c r="C12" s="6" t="s">
        <v>406</v>
      </c>
    </row>
    <row r="13" spans="1:3" x14ac:dyDescent="0.4">
      <c r="A13" s="6" t="s">
        <v>404</v>
      </c>
      <c r="B13" s="6" t="s">
        <v>381</v>
      </c>
      <c r="C13" s="6" t="s">
        <v>407</v>
      </c>
    </row>
    <row r="14" spans="1:3" x14ac:dyDescent="0.4">
      <c r="A14" s="6" t="s">
        <v>404</v>
      </c>
      <c r="B14" s="6" t="s">
        <v>382</v>
      </c>
      <c r="C14" s="6" t="s">
        <v>408</v>
      </c>
    </row>
    <row r="15" spans="1:3" x14ac:dyDescent="0.4">
      <c r="A15" s="6" t="s">
        <v>404</v>
      </c>
      <c r="B15" s="6" t="s">
        <v>383</v>
      </c>
      <c r="C15" s="6" t="s">
        <v>409</v>
      </c>
    </row>
    <row r="16" spans="1:3" x14ac:dyDescent="0.4">
      <c r="A16" s="6" t="s">
        <v>404</v>
      </c>
      <c r="B16" s="6" t="s">
        <v>384</v>
      </c>
      <c r="C16" s="6" t="s">
        <v>410</v>
      </c>
    </row>
    <row r="17" spans="1:3" x14ac:dyDescent="0.4">
      <c r="A17" s="6" t="s">
        <v>404</v>
      </c>
      <c r="B17" s="6" t="s">
        <v>385</v>
      </c>
      <c r="C17" s="6" t="s">
        <v>411</v>
      </c>
    </row>
    <row r="18" spans="1:3" x14ac:dyDescent="0.4">
      <c r="A18" s="6" t="s">
        <v>404</v>
      </c>
      <c r="B18" s="6" t="s">
        <v>386</v>
      </c>
      <c r="C18" s="6" t="s">
        <v>412</v>
      </c>
    </row>
    <row r="19" spans="1:3" x14ac:dyDescent="0.4">
      <c r="A19" s="6" t="s">
        <v>404</v>
      </c>
      <c r="B19" s="6" t="s">
        <v>387</v>
      </c>
      <c r="C19" s="6" t="s">
        <v>413</v>
      </c>
    </row>
    <row r="20" spans="1:3" x14ac:dyDescent="0.4">
      <c r="A20" s="6" t="s">
        <v>404</v>
      </c>
      <c r="B20" s="6" t="s">
        <v>388</v>
      </c>
      <c r="C20" s="6" t="s">
        <v>414</v>
      </c>
    </row>
    <row r="21" spans="1:3" x14ac:dyDescent="0.4">
      <c r="A21" s="6" t="s">
        <v>404</v>
      </c>
      <c r="B21" s="6" t="s">
        <v>415</v>
      </c>
      <c r="C21" s="6" t="s">
        <v>416</v>
      </c>
    </row>
    <row r="22" spans="1:3" x14ac:dyDescent="0.4">
      <c r="A22" s="6" t="s">
        <v>404</v>
      </c>
      <c r="B22" s="6" t="s">
        <v>390</v>
      </c>
      <c r="C22" s="6" t="s">
        <v>417</v>
      </c>
    </row>
    <row r="23" spans="1:3" x14ac:dyDescent="0.4">
      <c r="A23" s="6" t="s">
        <v>404</v>
      </c>
      <c r="B23" s="6" t="s">
        <v>391</v>
      </c>
      <c r="C23" s="6" t="s">
        <v>418</v>
      </c>
    </row>
    <row r="24" spans="1:3" ht="29.15" x14ac:dyDescent="0.4">
      <c r="A24" s="6" t="s">
        <v>299</v>
      </c>
      <c r="B24" s="6" t="s">
        <v>10</v>
      </c>
      <c r="C24" s="6" t="s">
        <v>419</v>
      </c>
    </row>
    <row r="25" spans="1:3" x14ac:dyDescent="0.4">
      <c r="A25" s="6" t="s">
        <v>299</v>
      </c>
      <c r="B25" s="6" t="s">
        <v>11</v>
      </c>
      <c r="C25" s="6" t="s">
        <v>420</v>
      </c>
    </row>
    <row r="26" spans="1:3" ht="29.15" x14ac:dyDescent="0.4">
      <c r="A26" s="6" t="s">
        <v>299</v>
      </c>
      <c r="B26" s="6" t="s">
        <v>12</v>
      </c>
      <c r="C26" s="6" t="s">
        <v>421</v>
      </c>
    </row>
    <row r="27" spans="1:3" x14ac:dyDescent="0.4">
      <c r="A27" s="6" t="s">
        <v>299</v>
      </c>
      <c r="B27" s="6" t="s">
        <v>13</v>
      </c>
      <c r="C27" s="6" t="s">
        <v>422</v>
      </c>
    </row>
    <row r="28" spans="1:3" ht="29.15" x14ac:dyDescent="0.4">
      <c r="A28" s="6" t="s">
        <v>299</v>
      </c>
      <c r="B28" s="6" t="s">
        <v>14</v>
      </c>
      <c r="C28" s="6" t="s">
        <v>423</v>
      </c>
    </row>
    <row r="29" spans="1:3" x14ac:dyDescent="0.4">
      <c r="A29" s="6" t="s">
        <v>299</v>
      </c>
      <c r="B29" s="6" t="s">
        <v>15</v>
      </c>
      <c r="C29" s="6" t="s">
        <v>424</v>
      </c>
    </row>
    <row r="30" spans="1:3" x14ac:dyDescent="0.4">
      <c r="A30" s="6" t="s">
        <v>299</v>
      </c>
      <c r="B30" s="6" t="s">
        <v>16</v>
      </c>
      <c r="C30" s="6" t="s">
        <v>425</v>
      </c>
    </row>
    <row r="31" spans="1:3" x14ac:dyDescent="0.4">
      <c r="A31" s="6" t="s">
        <v>299</v>
      </c>
      <c r="B31" s="6" t="s">
        <v>17</v>
      </c>
      <c r="C31" s="6" t="s">
        <v>426</v>
      </c>
    </row>
    <row r="32" spans="1:3" x14ac:dyDescent="0.4">
      <c r="A32" s="6" t="s">
        <v>299</v>
      </c>
      <c r="B32" s="6" t="s">
        <v>18</v>
      </c>
      <c r="C32" s="6" t="s">
        <v>427</v>
      </c>
    </row>
    <row r="33" spans="1:3" ht="29.15" x14ac:dyDescent="0.4">
      <c r="A33" s="6" t="s">
        <v>300</v>
      </c>
      <c r="B33" s="6" t="s">
        <v>19</v>
      </c>
      <c r="C33" s="6" t="s">
        <v>428</v>
      </c>
    </row>
    <row r="34" spans="1:3" x14ac:dyDescent="0.4">
      <c r="A34" s="6" t="s">
        <v>300</v>
      </c>
      <c r="B34" s="6" t="s">
        <v>20</v>
      </c>
      <c r="C34" s="6" t="s">
        <v>429</v>
      </c>
    </row>
    <row r="35" spans="1:3" x14ac:dyDescent="0.4">
      <c r="A35" s="6" t="s">
        <v>300</v>
      </c>
      <c r="B35" s="6" t="s">
        <v>21</v>
      </c>
      <c r="C35" s="6" t="s">
        <v>430</v>
      </c>
    </row>
    <row r="36" spans="1:3" x14ac:dyDescent="0.4">
      <c r="A36" s="6" t="s">
        <v>301</v>
      </c>
      <c r="B36" s="6" t="s">
        <v>22</v>
      </c>
      <c r="C36" s="6" t="s">
        <v>431</v>
      </c>
    </row>
    <row r="37" spans="1:3" x14ac:dyDescent="0.4">
      <c r="A37" s="6" t="s">
        <v>301</v>
      </c>
      <c r="B37" s="6" t="s">
        <v>23</v>
      </c>
      <c r="C37" s="6" t="s">
        <v>302</v>
      </c>
    </row>
    <row r="38" spans="1:3" x14ac:dyDescent="0.4">
      <c r="A38" s="6" t="s">
        <v>301</v>
      </c>
      <c r="B38" s="6" t="s">
        <v>24</v>
      </c>
      <c r="C38" s="6" t="s">
        <v>432</v>
      </c>
    </row>
    <row r="39" spans="1:3" x14ac:dyDescent="0.4">
      <c r="A39" s="6" t="s">
        <v>301</v>
      </c>
      <c r="B39" s="6" t="s">
        <v>25</v>
      </c>
      <c r="C39" s="6" t="s">
        <v>433</v>
      </c>
    </row>
    <row r="40" spans="1:3" x14ac:dyDescent="0.4">
      <c r="A40" s="6" t="s">
        <v>301</v>
      </c>
      <c r="B40" s="6" t="s">
        <v>26</v>
      </c>
      <c r="C40" s="6" t="s">
        <v>434</v>
      </c>
    </row>
    <row r="41" spans="1:3" x14ac:dyDescent="0.4">
      <c r="A41" s="6" t="s">
        <v>303</v>
      </c>
      <c r="B41" s="6" t="s">
        <v>27</v>
      </c>
      <c r="C41" s="6" t="s">
        <v>435</v>
      </c>
    </row>
    <row r="42" spans="1:3" ht="29.15" x14ac:dyDescent="0.4">
      <c r="A42" s="6" t="s">
        <v>303</v>
      </c>
      <c r="B42" s="6" t="s">
        <v>28</v>
      </c>
      <c r="C42" s="6" t="s">
        <v>436</v>
      </c>
    </row>
    <row r="43" spans="1:3" x14ac:dyDescent="0.4">
      <c r="A43" s="6" t="s">
        <v>303</v>
      </c>
      <c r="B43" s="6" t="s">
        <v>29</v>
      </c>
      <c r="C43" s="6" t="s">
        <v>437</v>
      </c>
    </row>
    <row r="44" spans="1:3" x14ac:dyDescent="0.4">
      <c r="A44" s="6" t="s">
        <v>303</v>
      </c>
      <c r="B44" s="6" t="s">
        <v>30</v>
      </c>
      <c r="C44" s="6" t="s">
        <v>438</v>
      </c>
    </row>
    <row r="45" spans="1:3" x14ac:dyDescent="0.4">
      <c r="A45" s="6" t="s">
        <v>303</v>
      </c>
      <c r="B45" s="6" t="s">
        <v>31</v>
      </c>
      <c r="C45" s="6" t="s">
        <v>439</v>
      </c>
    </row>
    <row r="46" spans="1:3" x14ac:dyDescent="0.4">
      <c r="A46" s="6" t="s">
        <v>303</v>
      </c>
      <c r="B46" s="6" t="s">
        <v>32</v>
      </c>
      <c r="C46" s="6" t="s">
        <v>440</v>
      </c>
    </row>
    <row r="47" spans="1:3" x14ac:dyDescent="0.4">
      <c r="A47" s="6" t="s">
        <v>304</v>
      </c>
      <c r="B47" s="6" t="s">
        <v>33</v>
      </c>
      <c r="C47" s="6" t="s">
        <v>441</v>
      </c>
    </row>
    <row r="48" spans="1:3" x14ac:dyDescent="0.4">
      <c r="A48" s="6" t="s">
        <v>304</v>
      </c>
      <c r="B48" s="6" t="s">
        <v>34</v>
      </c>
      <c r="C48" s="6" t="s">
        <v>442</v>
      </c>
    </row>
    <row r="49" spans="1:3" ht="29.15" x14ac:dyDescent="0.4">
      <c r="A49" s="6" t="s">
        <v>304</v>
      </c>
      <c r="B49" s="6" t="s">
        <v>35</v>
      </c>
      <c r="C49" s="6" t="s">
        <v>443</v>
      </c>
    </row>
    <row r="50" spans="1:3" ht="29.15" x14ac:dyDescent="0.4">
      <c r="A50" s="6" t="s">
        <v>304</v>
      </c>
      <c r="B50" s="6" t="s">
        <v>36</v>
      </c>
      <c r="C50" s="6" t="s">
        <v>444</v>
      </c>
    </row>
    <row r="51" spans="1:3" x14ac:dyDescent="0.4">
      <c r="A51" s="6" t="s">
        <v>304</v>
      </c>
      <c r="B51" s="6" t="s">
        <v>37</v>
      </c>
      <c r="C51" s="6" t="s">
        <v>445</v>
      </c>
    </row>
    <row r="52" spans="1:3" x14ac:dyDescent="0.4">
      <c r="A52" s="6" t="s">
        <v>304</v>
      </c>
      <c r="B52" s="6" t="s">
        <v>38</v>
      </c>
      <c r="C52" s="6" t="s">
        <v>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>
      <selection activeCell="B7" sqref="B7"/>
    </sheetView>
  </sheetViews>
  <sheetFormatPr baseColWidth="10" defaultColWidth="9.23046875" defaultRowHeight="14.6" x14ac:dyDescent="0.4"/>
  <cols>
    <col min="1" max="1" width="27.15234375" customWidth="1"/>
    <col min="2" max="2" width="40.23046875" customWidth="1"/>
    <col min="3" max="3" width="104.84375" customWidth="1"/>
  </cols>
  <sheetData>
    <row r="1" spans="1:3" x14ac:dyDescent="0.4">
      <c r="A1" t="s">
        <v>447</v>
      </c>
    </row>
    <row r="3" spans="1:3" x14ac:dyDescent="0.4">
      <c r="A3" s="5" t="s">
        <v>305</v>
      </c>
      <c r="B3" s="5" t="s">
        <v>306</v>
      </c>
      <c r="C3" s="5" t="s">
        <v>307</v>
      </c>
    </row>
    <row r="4" spans="1:3" ht="43.75" x14ac:dyDescent="0.4">
      <c r="A4" s="14" t="s">
        <v>308</v>
      </c>
      <c r="B4" s="6"/>
      <c r="C4" s="6"/>
    </row>
    <row r="5" spans="1:3" ht="29.15" x14ac:dyDescent="0.4">
      <c r="A5" s="14" t="s">
        <v>309</v>
      </c>
      <c r="B5" s="6" t="s">
        <v>310</v>
      </c>
      <c r="C5" s="6" t="s">
        <v>448</v>
      </c>
    </row>
    <row r="6" spans="1:3" ht="29.15" x14ac:dyDescent="0.4">
      <c r="A6" s="6"/>
      <c r="B6" s="6" t="s">
        <v>449</v>
      </c>
      <c r="C6" s="6" t="s">
        <v>450</v>
      </c>
    </row>
    <row r="7" spans="1:3" ht="43.75" x14ac:dyDescent="0.4">
      <c r="A7" s="14" t="s">
        <v>311</v>
      </c>
      <c r="B7" s="6" t="s">
        <v>312</v>
      </c>
      <c r="C7" s="6" t="s">
        <v>451</v>
      </c>
    </row>
    <row r="8" spans="1:3" ht="29.15" x14ac:dyDescent="0.4">
      <c r="A8" s="6"/>
      <c r="B8" s="6" t="s">
        <v>313</v>
      </c>
      <c r="C8" s="6" t="s">
        <v>452</v>
      </c>
    </row>
    <row r="9" spans="1:3" ht="29.15" x14ac:dyDescent="0.4">
      <c r="A9" s="6"/>
      <c r="B9" s="6" t="s">
        <v>314</v>
      </c>
      <c r="C9" s="6" t="s">
        <v>453</v>
      </c>
    </row>
    <row r="10" spans="1:3" ht="43.75" x14ac:dyDescent="0.4">
      <c r="A10" s="6"/>
      <c r="B10" s="6" t="s">
        <v>315</v>
      </c>
      <c r="C10" s="6" t="s">
        <v>454</v>
      </c>
    </row>
    <row r="11" spans="1:3" ht="29.15" x14ac:dyDescent="0.4">
      <c r="A11" s="6"/>
      <c r="B11" s="6" t="s">
        <v>316</v>
      </c>
      <c r="C11" s="6" t="s">
        <v>455</v>
      </c>
    </row>
    <row r="12" spans="1:3" ht="29.15" x14ac:dyDescent="0.4">
      <c r="A12" s="6"/>
      <c r="B12" s="6" t="s">
        <v>317</v>
      </c>
      <c r="C12" s="6" t="s">
        <v>456</v>
      </c>
    </row>
    <row r="13" spans="1:3" x14ac:dyDescent="0.4">
      <c r="A13" s="14" t="s">
        <v>318</v>
      </c>
      <c r="B13" s="6" t="s">
        <v>319</v>
      </c>
      <c r="C13" s="6" t="s">
        <v>320</v>
      </c>
    </row>
    <row r="14" spans="1:3" ht="29.15" x14ac:dyDescent="0.4">
      <c r="A14" s="6"/>
      <c r="B14" s="6" t="s">
        <v>321</v>
      </c>
      <c r="C14" s="6" t="s">
        <v>457</v>
      </c>
    </row>
    <row r="15" spans="1:3" x14ac:dyDescent="0.4">
      <c r="A15" s="14" t="s">
        <v>322</v>
      </c>
      <c r="B15" s="6" t="s">
        <v>323</v>
      </c>
      <c r="C15" s="6" t="s">
        <v>324</v>
      </c>
    </row>
    <row r="16" spans="1:3" x14ac:dyDescent="0.4">
      <c r="A16" s="6"/>
      <c r="B16" s="6" t="s">
        <v>325</v>
      </c>
      <c r="C16" s="6" t="s">
        <v>326</v>
      </c>
    </row>
    <row r="17" spans="1:3" x14ac:dyDescent="0.4">
      <c r="A17" s="6"/>
      <c r="B17" s="6" t="s">
        <v>327</v>
      </c>
      <c r="C17" s="6" t="s">
        <v>458</v>
      </c>
    </row>
    <row r="18" spans="1:3" ht="29.15" x14ac:dyDescent="0.4">
      <c r="A18" s="6"/>
      <c r="B18" s="6" t="s">
        <v>328</v>
      </c>
      <c r="C18" s="6" t="s">
        <v>459</v>
      </c>
    </row>
    <row r="19" spans="1:3" ht="29.15" x14ac:dyDescent="0.4">
      <c r="A19" s="6"/>
      <c r="B19" s="6" t="s">
        <v>329</v>
      </c>
      <c r="C19" s="6" t="s">
        <v>460</v>
      </c>
    </row>
    <row r="20" spans="1:3" ht="29.15" x14ac:dyDescent="0.4">
      <c r="A20" s="14" t="s">
        <v>330</v>
      </c>
      <c r="B20" s="6" t="s">
        <v>293</v>
      </c>
      <c r="C20" s="6" t="s">
        <v>461</v>
      </c>
    </row>
    <row r="21" spans="1:3" ht="29.15" x14ac:dyDescent="0.4">
      <c r="A21" s="6"/>
      <c r="B21" s="6" t="s">
        <v>331</v>
      </c>
      <c r="C21" s="6" t="s">
        <v>462</v>
      </c>
    </row>
    <row r="22" spans="1:3" x14ac:dyDescent="0.4">
      <c r="A22" s="6"/>
      <c r="B22" s="6" t="s">
        <v>332</v>
      </c>
      <c r="C22" s="6" t="s">
        <v>463</v>
      </c>
    </row>
    <row r="23" spans="1:3" x14ac:dyDescent="0.4">
      <c r="A23" s="6"/>
      <c r="B23" s="6" t="s">
        <v>333</v>
      </c>
      <c r="C23" s="6" t="s">
        <v>464</v>
      </c>
    </row>
    <row r="24" spans="1:3" x14ac:dyDescent="0.4">
      <c r="A24" s="6"/>
      <c r="B24" s="6" t="s">
        <v>334</v>
      </c>
      <c r="C24" s="6" t="s">
        <v>465</v>
      </c>
    </row>
    <row r="25" spans="1:3" x14ac:dyDescent="0.4">
      <c r="A25" s="6"/>
      <c r="B25" s="6" t="s">
        <v>335</v>
      </c>
      <c r="C25" s="6" t="s">
        <v>466</v>
      </c>
    </row>
    <row r="26" spans="1:3" x14ac:dyDescent="0.4">
      <c r="A26" s="14" t="s">
        <v>467</v>
      </c>
      <c r="B26" s="6" t="s">
        <v>468</v>
      </c>
      <c r="C26" s="6" t="s">
        <v>469</v>
      </c>
    </row>
    <row r="27" spans="1:3" ht="29.15" x14ac:dyDescent="0.4">
      <c r="A27" s="6"/>
      <c r="B27" s="6" t="s">
        <v>470</v>
      </c>
      <c r="C27" s="6" t="s">
        <v>471</v>
      </c>
    </row>
    <row r="28" spans="1:3" ht="29.15" x14ac:dyDescent="0.4">
      <c r="A28" s="6"/>
      <c r="B28" s="6" t="s">
        <v>472</v>
      </c>
      <c r="C28" s="6" t="s">
        <v>473</v>
      </c>
    </row>
    <row r="29" spans="1:3" ht="29.15" x14ac:dyDescent="0.4">
      <c r="A29" s="14" t="s">
        <v>474</v>
      </c>
      <c r="B29" s="6" t="s">
        <v>293</v>
      </c>
      <c r="C29" s="6" t="s">
        <v>475</v>
      </c>
    </row>
    <row r="30" spans="1:3" x14ac:dyDescent="0.4">
      <c r="A30" s="6"/>
      <c r="B30" s="6" t="s">
        <v>476</v>
      </c>
      <c r="C30" s="6" t="s">
        <v>477</v>
      </c>
    </row>
    <row r="31" spans="1:3" ht="29.15" x14ac:dyDescent="0.4">
      <c r="A31" s="6"/>
      <c r="B31" s="6" t="s">
        <v>478</v>
      </c>
      <c r="C31" s="6" t="s">
        <v>479</v>
      </c>
    </row>
    <row r="32" spans="1:3" x14ac:dyDescent="0.4">
      <c r="A32" s="6"/>
      <c r="B32" s="6" t="s">
        <v>480</v>
      </c>
      <c r="C32" s="6" t="s">
        <v>481</v>
      </c>
    </row>
    <row r="33" spans="1:3" x14ac:dyDescent="0.4">
      <c r="A33" s="14" t="s">
        <v>482</v>
      </c>
      <c r="B33" s="6" t="s">
        <v>336</v>
      </c>
      <c r="C33" s="6" t="s">
        <v>483</v>
      </c>
    </row>
    <row r="34" spans="1:3" ht="29.15" x14ac:dyDescent="0.4">
      <c r="A34" s="6"/>
      <c r="B34" s="6" t="s">
        <v>484</v>
      </c>
      <c r="C34" s="6" t="s">
        <v>485</v>
      </c>
    </row>
    <row r="35" spans="1:3" x14ac:dyDescent="0.4">
      <c r="A35" s="14" t="s">
        <v>337</v>
      </c>
      <c r="B35" s="6" t="s">
        <v>486</v>
      </c>
      <c r="C35" s="6" t="s">
        <v>487</v>
      </c>
    </row>
    <row r="36" spans="1:3" x14ac:dyDescent="0.4">
      <c r="A36" s="6"/>
      <c r="B36" s="6" t="s">
        <v>488</v>
      </c>
      <c r="C36" s="6" t="s">
        <v>489</v>
      </c>
    </row>
    <row r="37" spans="1:3" ht="29.15" x14ac:dyDescent="0.4">
      <c r="A37" s="6"/>
      <c r="B37" s="6" t="s">
        <v>490</v>
      </c>
      <c r="C37" s="6" t="s">
        <v>491</v>
      </c>
    </row>
    <row r="38" spans="1:3" x14ac:dyDescent="0.4">
      <c r="A38" s="6"/>
      <c r="B38" s="6" t="s">
        <v>492</v>
      </c>
      <c r="C38" s="6" t="s">
        <v>493</v>
      </c>
    </row>
    <row r="39" spans="1:3" x14ac:dyDescent="0.4">
      <c r="A39" s="6"/>
      <c r="B39" s="6" t="s">
        <v>494</v>
      </c>
      <c r="C39" s="6" t="s">
        <v>495</v>
      </c>
    </row>
    <row r="40" spans="1:3" x14ac:dyDescent="0.4">
      <c r="A40" s="14" t="s">
        <v>338</v>
      </c>
      <c r="B40" s="6" t="s">
        <v>325</v>
      </c>
      <c r="C40" s="6" t="s">
        <v>496</v>
      </c>
    </row>
    <row r="41" spans="1:3" x14ac:dyDescent="0.4">
      <c r="A41" s="6"/>
      <c r="B41" s="6" t="s">
        <v>339</v>
      </c>
      <c r="C41" s="6" t="s">
        <v>497</v>
      </c>
    </row>
    <row r="42" spans="1:3" x14ac:dyDescent="0.4">
      <c r="A42" s="6"/>
      <c r="B42" s="6" t="s">
        <v>498</v>
      </c>
      <c r="C42" s="6" t="s">
        <v>499</v>
      </c>
    </row>
    <row r="43" spans="1:3" ht="29.15" x14ac:dyDescent="0.4">
      <c r="A43" s="6"/>
      <c r="B43" s="6" t="s">
        <v>340</v>
      </c>
      <c r="C43" s="6" t="s">
        <v>500</v>
      </c>
    </row>
    <row r="44" spans="1:3" ht="29.15" x14ac:dyDescent="0.4">
      <c r="A44" s="14" t="s">
        <v>341</v>
      </c>
      <c r="B44" s="6" t="s">
        <v>342</v>
      </c>
      <c r="C44" s="6" t="s">
        <v>501</v>
      </c>
    </row>
    <row r="45" spans="1:3" ht="29.15" x14ac:dyDescent="0.4">
      <c r="A45" s="6"/>
      <c r="B45" s="6" t="s">
        <v>343</v>
      </c>
      <c r="C45" s="6" t="s">
        <v>502</v>
      </c>
    </row>
    <row r="46" spans="1:3" ht="29.15" x14ac:dyDescent="0.4">
      <c r="A46" s="6"/>
      <c r="B46" s="6" t="s">
        <v>344</v>
      </c>
      <c r="C46" s="6" t="s">
        <v>503</v>
      </c>
    </row>
    <row r="47" spans="1:3" x14ac:dyDescent="0.4">
      <c r="A47" s="6"/>
      <c r="B47" s="6" t="s">
        <v>345</v>
      </c>
      <c r="C47" s="6" t="s">
        <v>504</v>
      </c>
    </row>
    <row r="48" spans="1:3" ht="29.15" x14ac:dyDescent="0.4">
      <c r="A48" s="6"/>
      <c r="B48" s="6" t="s">
        <v>346</v>
      </c>
      <c r="C48" s="6" t="s">
        <v>505</v>
      </c>
    </row>
    <row r="49" spans="1:3" x14ac:dyDescent="0.4">
      <c r="A49" s="6"/>
      <c r="B49" s="6" t="s">
        <v>506</v>
      </c>
      <c r="C49" s="6" t="s">
        <v>507</v>
      </c>
    </row>
    <row r="50" spans="1:3" x14ac:dyDescent="0.4">
      <c r="A50" s="14" t="s">
        <v>347</v>
      </c>
      <c r="B50" s="6" t="s">
        <v>348</v>
      </c>
      <c r="C50" s="6" t="s">
        <v>349</v>
      </c>
    </row>
    <row r="51" spans="1:3" x14ac:dyDescent="0.4">
      <c r="A51" s="6"/>
      <c r="B51" s="6" t="s">
        <v>350</v>
      </c>
      <c r="C51" s="6" t="s">
        <v>351</v>
      </c>
    </row>
    <row r="52" spans="1:3" x14ac:dyDescent="0.4">
      <c r="A52" s="6"/>
      <c r="B52" s="6" t="s">
        <v>352</v>
      </c>
      <c r="C52" s="6" t="s">
        <v>353</v>
      </c>
    </row>
    <row r="53" spans="1:3" x14ac:dyDescent="0.4">
      <c r="A53" s="6"/>
      <c r="B53" s="6" t="s">
        <v>354</v>
      </c>
      <c r="C53" s="6" t="s">
        <v>356</v>
      </c>
    </row>
    <row r="54" spans="1:3" ht="29.15" x14ac:dyDescent="0.4">
      <c r="A54" s="6"/>
      <c r="B54" s="6" t="s">
        <v>355</v>
      </c>
      <c r="C54" s="6" t="s">
        <v>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521C-EE53-4736-A9DF-A42569368263}">
  <dimension ref="A1:C22"/>
  <sheetViews>
    <sheetView tabSelected="1" workbookViewId="0">
      <selection activeCell="B8" sqref="B8"/>
    </sheetView>
  </sheetViews>
  <sheetFormatPr baseColWidth="10" defaultRowHeight="14.6" x14ac:dyDescent="0.4"/>
  <cols>
    <col min="1" max="1" width="40.765625" bestFit="1" customWidth="1"/>
  </cols>
  <sheetData>
    <row r="1" spans="1:3" x14ac:dyDescent="0.4">
      <c r="A1" t="s">
        <v>357</v>
      </c>
    </row>
    <row r="3" spans="1:3" x14ac:dyDescent="0.4">
      <c r="A3" t="s">
        <v>358</v>
      </c>
      <c r="B3" t="s">
        <v>359</v>
      </c>
    </row>
    <row r="4" spans="1:3" x14ac:dyDescent="0.4">
      <c r="A4" s="6" t="s">
        <v>360</v>
      </c>
      <c r="B4" s="12">
        <v>25</v>
      </c>
    </row>
    <row r="5" spans="1:3" x14ac:dyDescent="0.4">
      <c r="A5" s="6" t="s">
        <v>361</v>
      </c>
      <c r="B5" s="13">
        <v>60</v>
      </c>
    </row>
    <row r="6" spans="1:3" x14ac:dyDescent="0.4">
      <c r="A6" s="6" t="s">
        <v>362</v>
      </c>
      <c r="B6" s="13">
        <v>40</v>
      </c>
    </row>
    <row r="7" spans="1:3" x14ac:dyDescent="0.4">
      <c r="A7" s="6" t="s">
        <v>363</v>
      </c>
      <c r="B7" s="12">
        <v>25</v>
      </c>
    </row>
    <row r="8" spans="1:3" x14ac:dyDescent="0.4">
      <c r="A8" s="6" t="s">
        <v>364</v>
      </c>
      <c r="B8" s="13">
        <v>100</v>
      </c>
    </row>
    <row r="9" spans="1:3" x14ac:dyDescent="0.4">
      <c r="A9" s="6" t="s">
        <v>365</v>
      </c>
      <c r="B9" s="12">
        <v>20</v>
      </c>
    </row>
    <row r="10" spans="1:3" x14ac:dyDescent="0.4">
      <c r="A10" s="6" t="s">
        <v>366</v>
      </c>
      <c r="B10" s="13">
        <v>10</v>
      </c>
    </row>
    <row r="11" spans="1:3" x14ac:dyDescent="0.4">
      <c r="A11" s="6" t="s">
        <v>367</v>
      </c>
      <c r="B11" s="13">
        <v>30</v>
      </c>
    </row>
    <row r="12" spans="1:3" x14ac:dyDescent="0.4">
      <c r="A12" s="6" t="s">
        <v>368</v>
      </c>
      <c r="B12" s="13">
        <v>10</v>
      </c>
    </row>
    <row r="13" spans="1:3" x14ac:dyDescent="0.4">
      <c r="A13" s="6" t="s">
        <v>369</v>
      </c>
      <c r="B13" s="13">
        <v>10</v>
      </c>
    </row>
    <row r="14" spans="1:3" x14ac:dyDescent="0.4">
      <c r="A14" s="6" t="s">
        <v>370</v>
      </c>
      <c r="B14" s="13">
        <v>40</v>
      </c>
      <c r="C14">
        <f>SUM(B10:B14)</f>
        <v>100</v>
      </c>
    </row>
    <row r="15" spans="1:3" x14ac:dyDescent="0.4">
      <c r="A15" s="6" t="s">
        <v>371</v>
      </c>
      <c r="B15" s="12">
        <v>25</v>
      </c>
    </row>
    <row r="16" spans="1:3" x14ac:dyDescent="0.4">
      <c r="A16" s="6" t="s">
        <v>372</v>
      </c>
      <c r="B16" s="13">
        <v>40</v>
      </c>
    </row>
    <row r="17" spans="1:3" x14ac:dyDescent="0.4">
      <c r="A17" s="6" t="s">
        <v>373</v>
      </c>
      <c r="B17" s="13">
        <v>50</v>
      </c>
    </row>
    <row r="18" spans="1:3" x14ac:dyDescent="0.4">
      <c r="A18" s="6" t="s">
        <v>374</v>
      </c>
      <c r="B18" s="13">
        <v>10</v>
      </c>
      <c r="C18">
        <f>B18+B17+B16</f>
        <v>100</v>
      </c>
    </row>
    <row r="19" spans="1:3" x14ac:dyDescent="0.4">
      <c r="A19" s="6" t="s">
        <v>375</v>
      </c>
      <c r="B19" s="12">
        <v>5</v>
      </c>
    </row>
    <row r="20" spans="1:3" x14ac:dyDescent="0.4">
      <c r="A20" s="6" t="s">
        <v>376</v>
      </c>
      <c r="B20" s="13">
        <v>50</v>
      </c>
    </row>
    <row r="21" spans="1:3" x14ac:dyDescent="0.4">
      <c r="A21" s="6" t="s">
        <v>377</v>
      </c>
      <c r="B21" s="13">
        <v>50</v>
      </c>
    </row>
    <row r="22" spans="1:3" x14ac:dyDescent="0.4">
      <c r="A22" s="6" t="s">
        <v>378</v>
      </c>
      <c r="B22" s="6">
        <f>B4+B7+B9+B15+B19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Priorización</vt:lpstr>
      <vt:lpstr>Definiciones</vt:lpstr>
      <vt:lpstr>Metodología</vt:lpstr>
      <vt:lpstr>Tablero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Ponce</cp:lastModifiedBy>
  <dcterms:created xsi:type="dcterms:W3CDTF">2026-04-28T18:53:24Z</dcterms:created>
  <dcterms:modified xsi:type="dcterms:W3CDTF">2026-04-29T01:09:15Z</dcterms:modified>
</cp:coreProperties>
</file>